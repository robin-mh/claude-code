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en" sheetId="2" state="visible" r:id="rId4"/>
    <sheet name="Settings" sheetId="3" state="visible" r:id="rId5"/>
  </sheets>
  <definedNames>
    <definedName function="false" hidden="false" localSheetId="0" name="_xlnm.Print_Area" vbProcedure="false">Dashboard!$A$1:$S$40</definedName>
    <definedName function="false" hidden="false" localSheetId="1" name="_xlnm.Print_Titles" vbProcedure="false">Daten!$1:$1</definedName>
    <definedName function="false" hidden="true" localSheetId="1" name="_xlnm._FilterDatabase" vbProcedure="false">Daten!$A$1:$L$501</definedName>
    <definedName function="false" hidden="false" name="Arbeitspakete" vbProcedure="false">Settings!$F$3:$F$11</definedName>
    <definedName function="false" hidden="false" name="F_AP" vbProcedure="false">Settings!$P$3:$P$12</definedName>
    <definedName function="false" hidden="false" name="F_Monat" vbProcedure="false">Settings!$N$3:$N$15</definedName>
    <definedName function="false" hidden="false" name="F_Status" vbProcedure="false">Settings!$D$3:$D$6</definedName>
    <definedName function="false" hidden="false" name="Jahre" vbProcedure="false">Settings!$J$3:$J$5</definedName>
    <definedName function="false" hidden="false" name="Monate" vbProcedure="false">Settings!$L$3:$L$14</definedName>
    <definedName function="false" hidden="false" name="Personen" vbProcedure="false">Settings!$B$3:$B$4</definedName>
    <definedName function="false" hidden="false" name="StatusListe" vbProcedure="false">Settings!$H$3:$H$5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Eingabefeld: Datum des Eintrags (TT.MM.JJJJ).
Ausfüllen: Spalten A-G und I. Die Spalten H, J, K, L rechnen sich selbst.
Die Zeilen 2-25 sind Beispieldaten - einfach überschreiben oder löschen.</t>
        </r>
      </text>
    </comment>
    <comment ref="B1" authorId="0">
      <text>
        <r>
          <rPr>
            <sz val="10"/>
            <rFont val="Arial"/>
            <family val="2"/>
          </rPr>
          <t xml:space="preserve">Eingabefeld: Auswahl Robin / Kathi (Liste auf 'Settings').</t>
        </r>
      </text>
    </comment>
    <comment ref="C1" authorId="0">
      <text>
        <r>
          <rPr>
            <sz val="10"/>
            <rFont val="Arial"/>
            <family val="2"/>
          </rPr>
          <t xml:space="preserve">Eingabefeld: Arbeitspaket aus der Auswahlliste. Pakete auf 'Settings' anpassbar.</t>
        </r>
      </text>
    </comment>
    <comment ref="D1" authorId="0">
      <text>
        <r>
          <rPr>
            <sz val="10"/>
            <rFont val="Arial"/>
            <family val="2"/>
          </rPr>
          <t xml:space="preserve">Eingabefeld: kurze Beschreibung der Tätigkeit (Freitext).</t>
        </r>
      </text>
    </comment>
    <comment ref="E1" authorId="0">
      <text>
        <r>
          <rPr>
            <sz val="10"/>
            <rFont val="Arial"/>
            <family val="2"/>
          </rPr>
          <t xml:space="preserve">Eingabefeld: Startzeit, Format HH:MM.</t>
        </r>
      </text>
    </comment>
    <comment ref="F1" authorId="0">
      <text>
        <r>
          <rPr>
            <sz val="10"/>
            <rFont val="Arial"/>
            <family val="2"/>
          </rPr>
          <t xml:space="preserve">Eingabefeld: Endzeit, Format HH:MM. Über Mitternacht wird korrekt gerechnet.</t>
        </r>
      </text>
    </comment>
    <comment ref="G1" authorId="0">
      <text>
        <r>
          <rPr>
            <sz val="10"/>
            <rFont val="Arial"/>
            <family val="2"/>
          </rPr>
          <t xml:space="preserve">Eingabefeld: Pausenzeit in Minuten (leer = 0).</t>
        </r>
      </text>
    </comment>
    <comment ref="H1" authorId="0">
      <text>
        <r>
          <rPr>
            <sz val="10"/>
            <rFont val="Arial"/>
            <family val="2"/>
          </rPr>
          <t xml:space="preserve">Berechnet: (Bis - Von) - Pause, in Dezimalstunden. Nicht überschreiben.</t>
        </r>
      </text>
    </comment>
    <comment ref="I1" authorId="0">
      <text>
        <r>
          <rPr>
            <sz val="10"/>
            <rFont val="Arial"/>
            <family val="2"/>
          </rPr>
          <t xml:space="preserve">Eingabefeld: Geplant / Läuft / Erledigt.</t>
        </r>
      </text>
    </comment>
    <comment ref="J1" authorId="0">
      <text>
        <r>
          <rPr>
            <sz val="10"/>
            <rFont val="Arial"/>
            <family val="2"/>
          </rPr>
          <t xml:space="preserve">Hilfsspalte, berechnet aus dem Datum. Nicht überschreiben.</t>
        </r>
      </text>
    </comment>
    <comment ref="K1" authorId="0">
      <text>
        <r>
          <rPr>
            <sz val="10"/>
            <rFont val="Arial"/>
            <family val="2"/>
          </rPr>
          <t xml:space="preserve">Hilfsspalte, berechnet aus dem Datum. Nicht überschreiben.</t>
        </r>
      </text>
    </comment>
    <comment ref="L1" authorId="0">
      <text>
        <r>
          <rPr>
            <sz val="10"/>
            <rFont val="Arial"/>
            <family val="2"/>
          </rPr>
          <t xml:space="preserve">Hilfsspalte: Kalenderwoche (Woche beginnt Montag). Nicht überschreiben.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Vorperiode = Vormonat (bei Monatsauswahl) bzw. Vorjahr (bei 'Alle').</t>
        </r>
      </text>
    </comment>
  </commentList>
</comments>
</file>

<file path=xl/sharedStrings.xml><?xml version="1.0" encoding="utf-8"?>
<sst xmlns="http://schemas.openxmlformats.org/spreadsheetml/2006/main" count="247" uniqueCount="104">
  <si>
    <t xml:space="preserve">re:school · Zeiterfassung</t>
  </si>
  <si>
    <t xml:space="preserve">Stunden · Personen · Arbeitspakete</t>
  </si>
  <si>
    <t xml:space="preserve">JAHR</t>
  </si>
  <si>
    <t xml:space="preserve">MONAT</t>
  </si>
  <si>
    <t xml:space="preserve">ARBEITSPAKET</t>
  </si>
  <si>
    <t xml:space="preserve">STATUS</t>
  </si>
  <si>
    <t xml:space="preserve">Alle</t>
  </si>
  <si>
    <t xml:space="preserve">GESAMTSTUNDEN</t>
  </si>
  <si>
    <t xml:space="preserve">STUNDEN ROBIN</t>
  </si>
  <si>
    <t xml:space="preserve">STUNDEN KATHI</t>
  </si>
  <si>
    <t xml:space="preserve">EINTRÄGE</t>
  </si>
  <si>
    <t xml:space="preserve">Ø STUNDEN / EINTRAG</t>
  </si>
  <si>
    <t xml:space="preserve">NOCH OFFEN</t>
  </si>
  <si>
    <t xml:space="preserve">AUFTEILUNG</t>
  </si>
  <si>
    <t xml:space="preserve">PERSON</t>
  </si>
  <si>
    <t xml:space="preserve">STUNDEN</t>
  </si>
  <si>
    <t xml:space="preserve">Δ VORPERIODE</t>
  </si>
  <si>
    <t xml:space="preserve">ANTEIL</t>
  </si>
  <si>
    <t xml:space="preserve">Robin</t>
  </si>
  <si>
    <t xml:space="preserve">Konzept &amp; Strategie</t>
  </si>
  <si>
    <t xml:space="preserve">Kathi</t>
  </si>
  <si>
    <t xml:space="preserve">Recherche</t>
  </si>
  <si>
    <t xml:space="preserve">Gesamt</t>
  </si>
  <si>
    <t xml:space="preserve">Workshop-Vorbereitung</t>
  </si>
  <si>
    <t xml:space="preserve">Workshop-Durchführung</t>
  </si>
  <si>
    <t xml:space="preserve">Schulkontakt</t>
  </si>
  <si>
    <t xml:space="preserve">Material &amp; Design</t>
  </si>
  <si>
    <t xml:space="preserve">Dokumentation</t>
  </si>
  <si>
    <t xml:space="preserve">Orga &amp; Abstimmung</t>
  </si>
  <si>
    <t xml:space="preserve">Sonstiges</t>
  </si>
  <si>
    <t xml:space="preserve">VERLAUF &amp; VERTEILUNG</t>
  </si>
  <si>
    <t xml:space="preserve">Datum</t>
  </si>
  <si>
    <t xml:space="preserve">Person</t>
  </si>
  <si>
    <t xml:space="preserve">Arbeitspaket</t>
  </si>
  <si>
    <t xml:space="preserve">Tätigkeit</t>
  </si>
  <si>
    <t xml:space="preserve">Von</t>
  </si>
  <si>
    <t xml:space="preserve">Bis</t>
  </si>
  <si>
    <t xml:space="preserve">Pause (Min)</t>
  </si>
  <si>
    <t xml:space="preserve">Stunden</t>
  </si>
  <si>
    <t xml:space="preserve">Status</t>
  </si>
  <si>
    <t xml:space="preserve">Jahr</t>
  </si>
  <si>
    <t xml:space="preserve">Monat</t>
  </si>
  <si>
    <t xml:space="preserve">KW</t>
  </si>
  <si>
    <t xml:space="preserve">Zielbild re:school geschärft</t>
  </si>
  <si>
    <t xml:space="preserve">Erledigt</t>
  </si>
  <si>
    <t xml:space="preserve">Förderprogramme gesichtet</t>
  </si>
  <si>
    <t xml:space="preserve">Erstgespräch GS Nordstadt</t>
  </si>
  <si>
    <t xml:space="preserve">Wochenplanung mit Kathi</t>
  </si>
  <si>
    <t xml:space="preserve">Wochenplanung mit Robin</t>
  </si>
  <si>
    <t xml:space="preserve">Ablauf Modul 1 entworfen</t>
  </si>
  <si>
    <t xml:space="preserve">Kartenset Layout v1</t>
  </si>
  <si>
    <t xml:space="preserve">Benchmark Bildungsinitiativen</t>
  </si>
  <si>
    <t xml:space="preserve">Moderationsleitfaden Modul 1</t>
  </si>
  <si>
    <t xml:space="preserve">Terminabstimmung Pilotschulen</t>
  </si>
  <si>
    <t xml:space="preserve">Slides Modul 1 gebaut</t>
  </si>
  <si>
    <t xml:space="preserve">Pilot-Workshop GS Nordstadt</t>
  </si>
  <si>
    <t xml:space="preserve">Auswertung Pilot-Workshop</t>
  </si>
  <si>
    <t xml:space="preserve">Feedbackbögen ausgewertet</t>
  </si>
  <si>
    <t xml:space="preserve">Modul 2 skizziert</t>
  </si>
  <si>
    <t xml:space="preserve">Jour fixe + Backlog</t>
  </si>
  <si>
    <t xml:space="preserve">Kartenset v2 nach Feedback</t>
  </si>
  <si>
    <t xml:space="preserve">Anfrage Sekundarstufe Ost</t>
  </si>
  <si>
    <t xml:space="preserve">Ablauf Modul 2</t>
  </si>
  <si>
    <t xml:space="preserve">Methodenpool erweitert</t>
  </si>
  <si>
    <t xml:space="preserve">Projekttagebuch nachgezogen</t>
  </si>
  <si>
    <t xml:space="preserve">Materialliste Modul 2</t>
  </si>
  <si>
    <t xml:space="preserve">Läuft</t>
  </si>
  <si>
    <t xml:space="preserve">Wochenplanung KW 37</t>
  </si>
  <si>
    <t xml:space="preserve">PERSONEN</t>
  </si>
  <si>
    <t xml:space="preserve">FILTER: STATUS</t>
  </si>
  <si>
    <t xml:space="preserve">ARBEITSPAKETE</t>
  </si>
  <si>
    <t xml:space="preserve">JAHRE</t>
  </si>
  <si>
    <t xml:space="preserve">MONATE</t>
  </si>
  <si>
    <t xml:space="preserve">FILTER: MONAT</t>
  </si>
  <si>
    <t xml:space="preserve">FILTER: ARBEITSPAKET</t>
  </si>
  <si>
    <t xml:space="preserve">Geplant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</si>
  <si>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</si>
  <si>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</si>
  <si>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</si>
  <si>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</si>
  <si>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</si>
  <si>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</si>
  <si>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</si>
  <si>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</si>
  <si>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</si>
  <si>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</si>
  <si>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</si>
  <si>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</si>
  <si>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PARAMETER &amp; VORPERIODE</t>
  </si>
  <si>
    <t xml:space="preserve">Jahr (Auswahl)</t>
  </si>
  <si>
    <t xml:space="preserve">Monat-Kriterium</t>
  </si>
  <si>
    <t xml:space="preserve">Arbeitspaket-Kriterium</t>
  </si>
  <si>
    <t xml:space="preserve">Status-Kriterium</t>
  </si>
  <si>
    <t xml:space="preserve">Monat-Index</t>
  </si>
  <si>
    <t xml:space="preserve">Vormonat-Index</t>
  </si>
  <si>
    <t xml:space="preserve">Vormonat-Kriterium</t>
  </si>
  <si>
    <t xml:space="preserve">Vorperioden-Jahr</t>
  </si>
  <si>
    <t xml:space="preserve">AKZENTFARBEN</t>
  </si>
  <si>
    <t xml:space="preserve">Dunkel</t>
  </si>
  <si>
    <t xml:space="preserve">#1D6F5E</t>
  </si>
  <si>
    <t xml:space="preserve">Mittel</t>
  </si>
  <si>
    <t xml:space="preserve">#4DA28E</t>
  </si>
  <si>
    <t xml:space="preserve">Hell</t>
  </si>
  <si>
    <t xml:space="preserve">#CFE8E1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</si>
</sst>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.0&quot; h&quot;"/>
    <numFmt numFmtId="167" formatCode="#,##0"/>
    <numFmt numFmtId="168" formatCode="#,##0.00"/>
    <numFmt numFmtId="169" formatCode="0.0%\▲;[RED]\(0.0%&quot;)▼&quot;;\–"/>
    <numFmt numFmtId="170" formatCode="0.0%&quot; Anteil&quot;"/>
    <numFmt numFmtId="171" formatCode="#,##0&quot; ▲&quot;;[RED]\(#,##0&quot;) ▼&quot;;\–"/>
    <numFmt numFmtId="172" formatCode="0.0%"/>
    <numFmt numFmtId="173" formatCode="dd\.mm\.yyyy"/>
    <numFmt numFmtId="174" formatCode="hh:mm"/>
    <numFmt numFmtId="175" formatCode="0;\-0;;"/>
    <numFmt numFmtId="176" formatCode="#,##0.00;\-#,##0.00;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CFE8E1"/>
      <name val="Arial"/>
      <family val="0"/>
      <charset val="1"/>
    </font>
    <font>
      <b val="true"/>
      <sz val="8"/>
      <color rgb="FF7A8C88"/>
      <name val="Arial"/>
      <family val="0"/>
      <charset val="1"/>
    </font>
    <font>
      <b val="true"/>
      <sz val="10"/>
      <color rgb="FF1D6F5E"/>
      <name val="Arial"/>
      <family val="0"/>
      <charset val="1"/>
    </font>
    <font>
      <b val="true"/>
      <sz val="21"/>
      <color rgb="FF1D6F5E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1"/>
      <color rgb="FF1D6F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sz val="9"/>
      <color rgb="FF7A8C88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D6F5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6F5E"/>
        <bgColor rgb="FF008080"/>
      </patternFill>
    </fill>
    <fill>
      <patternFill patternType="solid">
        <fgColor rgb="FFCFE8E1"/>
        <bgColor rgb="FFD9D9D9"/>
      </patternFill>
    </fill>
    <fill>
      <patternFill patternType="solid">
        <fgColor rgb="FF4DA28E"/>
        <bgColor rgb="FF7A8C88"/>
      </patternFill>
    </fill>
    <fill>
      <patternFill patternType="solid">
        <fgColor rgb="FFF5F9F8"/>
        <bgColor rgb="FFEDF5F3"/>
      </patternFill>
    </fill>
    <fill>
      <patternFill patternType="solid">
        <fgColor rgb="FFEDF5F3"/>
        <bgColor rgb="FFF5F9F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D6F5E"/>
      </left>
      <right style="thin">
        <color rgb="FF1D6F5E"/>
      </right>
      <top style="thin">
        <color rgb="FF1D6F5E"/>
      </top>
      <bottom style="thin">
        <color rgb="FF1D6F5E"/>
      </bottom>
      <diagonal/>
    </border>
    <border diagonalUp="false" diagonalDown="false">
      <left style="thin">
        <color rgb="FFC9D8D3"/>
      </left>
      <right style="thin">
        <color rgb="FFC9D8D3"/>
      </right>
      <top style="thin">
        <color rgb="FFC9D8D3"/>
      </top>
      <bottom/>
      <diagonal/>
    </border>
    <border diagonalUp="false" diagonalDown="false">
      <left style="thin">
        <color rgb="FFC9D8D3"/>
      </left>
      <right style="thin">
        <color rgb="FFC9D8D3"/>
      </right>
      <top/>
      <bottom/>
      <diagonal/>
    </border>
    <border diagonalUp="false" diagonalDown="false">
      <left style="thin">
        <color rgb="FFC9D8D3"/>
      </left>
      <right style="thin">
        <color rgb="FFC9D8D3"/>
      </right>
      <top/>
      <bottom style="thin">
        <color rgb="FFC9D8D3"/>
      </bottom>
      <diagonal/>
    </border>
    <border diagonalUp="false" diagonalDown="false">
      <left/>
      <right/>
      <top/>
      <bottom style="medium">
        <color rgb="FF4DA28E"/>
      </bottom>
      <diagonal/>
    </border>
    <border diagonalUp="false" diagonalDown="false">
      <left/>
      <right/>
      <top style="thin">
        <color rgb="FF1D6F5E"/>
      </top>
      <bottom style="double">
        <color rgb="FF1D6F5E"/>
      </bottom>
      <diagonal/>
    </border>
    <border diagonalUp="false" diagonalDown="false">
      <left/>
      <right/>
      <top/>
      <bottom style="hair">
        <color rgb="FFC9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D6F5E"/>
          <bgColor rgb="FF000000"/>
        </patternFill>
      </fill>
    </dxf>
    <dxf>
      <fill>
        <patternFill patternType="solid">
          <fgColor rgb="FFEDF5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8A3B"/>
          <bgColor rgb="FF000000"/>
        </patternFill>
      </fill>
    </dxf>
    <dxf>
      <fill>
        <patternFill patternType="solid">
          <fgColor rgb="FF9A6A00"/>
          <bgColor rgb="FF000000"/>
        </patternFill>
      </fill>
    </dxf>
    <dxf>
      <font>
        <name val="Arial"/>
        <charset val="1"/>
        <family val="0"/>
        <b val="1"/>
        <color rgb="FF1F8A3B"/>
        <sz val="10"/>
      </font>
    </dxf>
    <dxf>
      <font>
        <name val="Arial"/>
        <charset val="1"/>
        <family val="0"/>
        <b val="1"/>
        <color rgb="FF9A6A00"/>
        <sz val="10"/>
      </font>
    </dxf>
    <dxf>
      <font>
        <name val="Arial"/>
        <charset val="1"/>
        <family val="0"/>
        <b val="1"/>
        <color rgb="FF7A8C88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8A3B"/>
      <rgbColor rgb="FF000080"/>
      <rgbColor rgb="FF9A6A00"/>
      <rgbColor rgb="FF800080"/>
      <rgbColor rgb="FF1D6F5E"/>
      <rgbColor rgb="FFD9D9D9"/>
      <rgbColor rgb="FF878787"/>
      <rgbColor rgb="FF9999FF"/>
      <rgbColor rgb="FF993366"/>
      <rgbColor rgb="FFF5F9F8"/>
      <rgbColor rgb="FFEDF5F3"/>
      <rgbColor rgb="FF660066"/>
      <rgbColor rgb="FFFF8080"/>
      <rgbColor rgb="FF0066CC"/>
      <rgbColor rgb="FFC9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A8C88"/>
      <rgbColor rgb="FF003366"/>
      <rgbColor rgb="FF4DA28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Stunden je Monat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Settings!C27</c:f>
              <c:strCache>
                <c:ptCount val="1"/>
                <c:pt idx="0">
                  <c:v>STUNDEN</c:v>
                </c:pt>
              </c:strCache>
            </c:strRef>
          </c:tx>
          <c:spPr>
            <a:solidFill>
              <a:srgbClr val="1d6f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Settings!$B$28:$B$39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Settings!$C$28:$C$39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42.17</c:v>
                </c:pt>
                <c:pt idx="8">
                  <c:v>19.75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5"/>
        <c:overlap val="0"/>
        <c:axId val="63598128"/>
        <c:axId val="87851520"/>
      </c:barChart>
      <c:lineChart>
        <c:grouping val="standard"/>
        <c:varyColors val="0"/>
        <c:ser>
          <c:idx val="1"/>
          <c:order val="1"/>
          <c:tx>
            <c:strRef>
              <c:f>Settings!D27</c:f>
              <c:strCache>
                <c:ptCount val="1"/>
                <c:pt idx="0">
                  <c:v>EINTRÄGE</c:v>
                </c:pt>
              </c:strCache>
            </c:strRef>
          </c:tx>
          <c:spPr>
            <a:solidFill>
              <a:srgbClr val="4da28e"/>
            </a:solidFill>
            <a:ln w="21960">
              <a:solidFill>
                <a:srgbClr val="4da2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Settings!$B$28:$B$39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Settings!$D$28:$D$39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549889"/>
        <c:axId val="72121792"/>
      </c:lineChart>
      <c:catAx>
        <c:axId val="635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51520"/>
        <c:crosses val="autoZero"/>
        <c:auto val="1"/>
        <c:lblAlgn val="ctr"/>
        <c:lblOffset val="100"/>
        <c:noMultiLvlLbl val="0"/>
      </c:catAx>
      <c:valAx>
        <c:axId val="87851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Stunden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98128"/>
        <c:crosses val="autoZero"/>
        <c:crossBetween val="between"/>
      </c:valAx>
      <c:catAx>
        <c:axId val="2754988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21792"/>
        <c:crosses val="autoZero"/>
        <c:auto val="1"/>
        <c:lblAlgn val="ctr"/>
        <c:lblOffset val="100"/>
        <c:noMultiLvlLbl val="0"/>
      </c:catAx>
      <c:valAx>
        <c:axId val="7212179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Einträge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498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Stunden je Arbeitspaket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Settings!G27</c:f>
              <c:strCache>
                <c:ptCount val="1"/>
                <c:pt idx="0">
                  <c:v>STUNDEN</c:v>
                </c:pt>
              </c:strCache>
            </c:strRef>
          </c:tx>
          <c:spPr>
            <a:solidFill>
              <a:srgbClr val="4da2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Settings!$F$28:$F$36</c:f>
              <c:strCache>
                <c:ptCount val="9"/>
                <c:pt idx="0">
                  <c:v>Konzept &amp; Strategie</c:v>
                </c:pt>
                <c:pt idx="1">
                  <c:v>Recherche</c:v>
                </c:pt>
                <c:pt idx="2">
                  <c:v>Workshop-Vorbereitung</c:v>
                </c:pt>
                <c:pt idx="3">
                  <c:v>Workshop-Durchführung</c:v>
                </c:pt>
                <c:pt idx="4">
                  <c:v>Schulkontakt</c:v>
                </c:pt>
                <c:pt idx="5">
                  <c:v>Material &amp; Design</c:v>
                </c:pt>
                <c:pt idx="6">
                  <c:v>Dokumentation</c:v>
                </c:pt>
                <c:pt idx="7">
                  <c:v>Orga &amp; Abstimmung</c:v>
                </c:pt>
                <c:pt idx="8">
                  <c:v>Sonstiges</c:v>
                </c:pt>
              </c:strCache>
            </c:strRef>
          </c:cat>
          <c:val>
            <c:numRef>
              <c:f>Settings!$G$28:$G$36</c:f>
              <c:numCache>
                <c:formatCode>#,##0.00</c:formatCode>
                <c:ptCount val="9"/>
                <c:pt idx="0">
                  <c:v>6</c:v>
                </c:pt>
                <c:pt idx="1">
                  <c:v>7</c:v>
                </c:pt>
                <c:pt idx="2">
                  <c:v>12.5</c:v>
                </c:pt>
                <c:pt idx="3">
                  <c:v>9</c:v>
                </c:pt>
                <c:pt idx="4">
                  <c:v>4</c:v>
                </c:pt>
                <c:pt idx="5">
                  <c:v>12.67</c:v>
                </c:pt>
                <c:pt idx="6">
                  <c:v>6.5</c:v>
                </c:pt>
                <c:pt idx="7">
                  <c:v>4.25</c:v>
                </c:pt>
                <c:pt idx="8">
                  <c:v>0</c:v>
                </c:pt>
              </c:numCache>
            </c:numRef>
          </c:val>
        </c:ser>
        <c:gapWidth val="45"/>
        <c:overlap val="0"/>
        <c:axId val="88748081"/>
        <c:axId val="15435465"/>
      </c:barChart>
      <c:catAx>
        <c:axId val="88748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35465"/>
        <c:crosses val="autoZero"/>
        <c:auto val="1"/>
        <c:lblAlgn val="ctr"/>
        <c:lblOffset val="100"/>
        <c:noMultiLvlLbl val="0"/>
      </c:catAx>
      <c:valAx>
        <c:axId val="15435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480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7</xdr:col>
      <xdr:colOff>378720</xdr:colOff>
      <xdr:row>43</xdr:row>
      <xdr:rowOff>165960</xdr:rowOff>
    </xdr:to>
    <xdr:graphicFrame>
      <xdr:nvGraphicFramePr>
        <xdr:cNvPr id="0" name="Chart 1"/>
        <xdr:cNvGraphicFramePr/>
      </xdr:nvGraphicFramePr>
      <xdr:xfrm>
        <a:off x="177840" y="5029200"/>
        <a:ext cx="482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16</xdr:col>
      <xdr:colOff>378720</xdr:colOff>
      <xdr:row>43</xdr:row>
      <xdr:rowOff>165960</xdr:rowOff>
    </xdr:to>
    <xdr:graphicFrame>
      <xdr:nvGraphicFramePr>
        <xdr:cNvPr id="1" name="Chart 2"/>
        <xdr:cNvGraphicFramePr/>
      </xdr:nvGraphicFramePr>
      <xdr:xfrm>
        <a:off x="6756480" y="5029200"/>
        <a:ext cx="482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F5E"/>
    <pageSetUpPr fitToPage="true"/>
  </sheetPr>
  <dimension ref="A1:S2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"/>
    <col collapsed="false" customWidth="true" hidden="false" outlineLevel="0" max="6" min="5" style="0" width="11"/>
    <col collapsed="false" customWidth="true" hidden="false" outlineLevel="0" max="7" min="7" style="0" width="2"/>
    <col collapsed="false" customWidth="true" hidden="false" outlineLevel="0" max="9" min="8" style="0" width="11"/>
    <col collapsed="false" customWidth="true" hidden="false" outlineLevel="0" max="10" min="10" style="0" width="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2"/>
    <col collapsed="false" customWidth="true" hidden="false" outlineLevel="0" max="15" min="14" style="0" width="11"/>
    <col collapsed="false" customWidth="true" hidden="false" outlineLevel="0" max="16" min="16" style="0" width="2"/>
    <col collapsed="false" customWidth="true" hidden="false" outlineLevel="0" max="18" min="17" style="0" width="11"/>
    <col collapsed="false" customWidth="true" hidden="false" outlineLevel="0" max="19" min="19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7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</row>
    <row r="4" customFormat="false" ht="7.5" hidden="false" customHeight="true" outlineLevel="0" collapsed="false"/>
    <row r="5" customFormat="false" ht="12" hidden="false" customHeight="true" outlineLevel="0" collapsed="false">
      <c r="B5" s="4" t="s">
        <v>2</v>
      </c>
      <c r="C5" s="4"/>
      <c r="E5" s="4" t="s">
        <v>3</v>
      </c>
      <c r="F5" s="4"/>
      <c r="H5" s="4" t="s">
        <v>4</v>
      </c>
      <c r="I5" s="4"/>
      <c r="K5" s="4" t="s">
        <v>5</v>
      </c>
      <c r="L5" s="4"/>
    </row>
    <row r="6" customFormat="false" ht="19.5" hidden="false" customHeight="true" outlineLevel="0" collapsed="false">
      <c r="B6" s="5" t="n">
        <v>2026</v>
      </c>
      <c r="C6" s="5"/>
      <c r="E6" s="6" t="s">
        <v>6</v>
      </c>
      <c r="F6" s="6"/>
      <c r="H6" s="6" t="s">
        <v>6</v>
      </c>
      <c r="I6" s="6"/>
      <c r="K6" s="6" t="s">
        <v>6</v>
      </c>
      <c r="L6" s="6"/>
    </row>
    <row r="7" customFormat="false" ht="9.75" hidden="false" customHeight="true" outlineLevel="0" collapsed="false"/>
    <row r="8" customFormat="false" ht="4.5" hidden="false" customHeight="true" outlineLevel="0" collapsed="false">
      <c r="B8" s="7"/>
      <c r="C8" s="7"/>
      <c r="E8" s="7"/>
      <c r="F8" s="7"/>
      <c r="H8" s="7"/>
      <c r="I8" s="7"/>
      <c r="K8" s="7"/>
      <c r="L8" s="7"/>
      <c r="N8" s="7"/>
      <c r="O8" s="7"/>
      <c r="Q8" s="7"/>
      <c r="R8" s="7"/>
    </row>
    <row r="9" customFormat="false" ht="12.75" hidden="false" customHeight="true" outlineLevel="0" collapsed="false">
      <c r="B9" s="8" t="s">
        <v>7</v>
      </c>
      <c r="C9" s="8"/>
      <c r="E9" s="8" t="s">
        <v>8</v>
      </c>
      <c r="F9" s="8"/>
      <c r="H9" s="8" t="s">
        <v>9</v>
      </c>
      <c r="I9" s="8"/>
      <c r="K9" s="8" t="s">
        <v>10</v>
      </c>
      <c r="L9" s="8"/>
      <c r="N9" s="8" t="s">
        <v>11</v>
      </c>
      <c r="O9" s="8"/>
      <c r="Q9" s="8" t="s">
        <v>12</v>
      </c>
      <c r="R9" s="8"/>
    </row>
    <row r="10" customFormat="false" ht="30" hidden="false" customHeight="true" outlineLevel="0" collapsed="false">
      <c r="B10" s="9" t="n">
        <f aca="false">SUMIFS(Daten!$H$2:$H$501,Daten!$J$2:$J$501,Settings!$C$16,Daten!$K$2:$K$501,Settings!$C$17,Daten!$C$2:$C$501,Settings!$C$18,Daten!$I$2:$I$501,Settings!$C$19)</f>
        <v>61.92</v>
      </c>
      <c r="C10" s="9"/>
      <c r="E10" s="9" t="n">
        <f aca="false">SUMIFS(Daten!$H$2:$H$501,Daten!$J$2:$J$501,Settings!$C$16,Daten!$K$2:$K$501,Settings!$C$17,Daten!$C$2:$C$501,Settings!$C$18,Daten!$I$2:$I$501,Settings!$C$19,Daten!$B$2:$B$501,"Robin")</f>
        <v>32.25</v>
      </c>
      <c r="F10" s="9"/>
      <c r="H10" s="9" t="n">
        <f aca="false">SUMIFS(Daten!$H$2:$H$501,Daten!$J$2:$J$501,Settings!$C$16,Daten!$K$2:$K$501,Settings!$C$17,Daten!$C$2:$C$501,Settings!$C$18,Daten!$I$2:$I$501,Settings!$C$19,Daten!$B$2:$B$501,"Kathi")</f>
        <v>29.67</v>
      </c>
      <c r="I10" s="9"/>
      <c r="K10" s="10" t="n">
        <f aca="false">COUNTIFS(Daten!$J$2:$J$501,Settings!$C$16,Daten!$K$2:$K$501,Settings!$C$17,Daten!$C$2:$C$501,Settings!$C$18,Daten!$I$2:$I$501,Settings!$C$19)</f>
        <v>24</v>
      </c>
      <c r="L10" s="10"/>
      <c r="N10" s="11" t="n">
        <f aca="false">IFERROR(SUMIFS(Daten!$H$2:$H$501,Daten!$J$2:$J$501,Settings!$C$16,Daten!$K$2:$K$501,Settings!$C$17,Daten!$C$2:$C$501,Settings!$C$18,Daten!$I$2:$I$501,Settings!$C$19)/COUNTIFS(Daten!$J$2:$J$501,Settings!$C$16,Daten!$K$2:$K$501,Settings!$C$17,Daten!$C$2:$C$501,Settings!$C$18,Daten!$I$2:$I$501,Settings!$C$19),0)</f>
        <v>2.58</v>
      </c>
      <c r="O10" s="11"/>
      <c r="Q10" s="9" t="n">
        <f aca="false">SUMIFS(Daten!$H$2:$H$501,Daten!$J$2:$J$501,Settings!$C$16,Daten!$K$2:$K$501,Settings!$C$17,Daten!$C$2:$C$501,Settings!$C$18,Daten!$I$2:$I$501,"&lt;&gt;Erledigt")</f>
        <v>3</v>
      </c>
      <c r="R10" s="9"/>
    </row>
    <row r="11" customFormat="false" ht="15" hidden="false" customHeight="true" outlineLevel="0" collapsed="false">
      <c r="B11" s="12" t="n">
        <f aca="false">IFERROR(SUMIFS(Daten!$H$2:$H$501,Daten!$J$2:$J$501,Settings!$C$16,Daten!$K$2:$K$501,Settings!$C$17,Daten!$C$2:$C$501,Settings!$C$18,Daten!$I$2:$I$501,Settings!$C$19)/SUMIFS(Daten!$H$2:$H$501,Daten!$J$2:$J$501,Settings!$C$23,Daten!$K$2:$K$501,Settings!$C$22,Daten!$C$2:$C$501,Settings!$C$18,Daten!$I$2:$I$501,Settings!$C$19)-1,0)</f>
        <v>0</v>
      </c>
      <c r="C11" s="12"/>
      <c r="E11" s="13" t="n">
        <f aca="false">IFERROR(SUMIFS(Daten!$H$2:$H$501,Daten!$J$2:$J$501,Settings!$C$16,Daten!$K$2:$K$501,Settings!$C$17,Daten!$C$2:$C$501,Settings!$C$18,Daten!$I$2:$I$501,Settings!$C$19,Daten!$B$2:$B$501,"Robin")/SUMIFS(Daten!$H$2:$H$501,Daten!$J$2:$J$501,Settings!$C$16,Daten!$K$2:$K$501,Settings!$C$17,Daten!$C$2:$C$501,Settings!$C$18,Daten!$I$2:$I$501,Settings!$C$19),0)</f>
        <v>0.520833333333333</v>
      </c>
      <c r="F11" s="13"/>
      <c r="H11" s="13" t="n">
        <f aca="false">IFERROR(SUMIFS(Daten!$H$2:$H$501,Daten!$J$2:$J$501,Settings!$C$16,Daten!$K$2:$K$501,Settings!$C$17,Daten!$C$2:$C$501,Settings!$C$18,Daten!$I$2:$I$501,Settings!$C$19,Daten!$B$2:$B$501,"Kathi")/SUMIFS(Daten!$H$2:$H$501,Daten!$J$2:$J$501,Settings!$C$16,Daten!$K$2:$K$501,Settings!$C$17,Daten!$C$2:$C$501,Settings!$C$18,Daten!$I$2:$I$501,Settings!$C$19),0)</f>
        <v>0.479166666666667</v>
      </c>
      <c r="I11" s="13"/>
      <c r="K11" s="14" t="n">
        <f aca="false">COUNTIFS(Daten!$J$2:$J$501,Settings!$C$16,Daten!$K$2:$K$501,Settings!$C$17,Daten!$C$2:$C$501,Settings!$C$18,Daten!$I$2:$I$501,Settings!$C$19)-COUNTIFS(Daten!$J$2:$J$501,Settings!$C$23,Daten!$K$2:$K$501,Settings!$C$22,Daten!$C$2:$C$501,Settings!$C$18,Daten!$I$2:$I$501,Settings!$C$19)</f>
        <v>24</v>
      </c>
      <c r="L11" s="14"/>
      <c r="N11" s="12" t="n">
        <f aca="false">IFERROR(IFERROR(SUMIFS(Daten!$H$2:$H$501,Daten!$J$2:$J$501,Settings!$C$16,Daten!$K$2:$K$501,Settings!$C$17,Daten!$C$2:$C$501,Settings!$C$18,Daten!$I$2:$I$501,Settings!$C$19)/COUNTIFS(Daten!$J$2:$J$501,Settings!$C$16,Daten!$K$2:$K$501,Settings!$C$17,Daten!$C$2:$C$501,Settings!$C$18,Daten!$I$2:$I$501,Settings!$C$19),0)/IFERROR(SUMIFS(Daten!$H$2:$H$501,Daten!$J$2:$J$501,Settings!$C$23,Daten!$K$2:$K$501,Settings!$C$22,Daten!$C$2:$C$501,Settings!$C$18,Daten!$I$2:$I$501,Settings!$C$19)/COUNTIFS(Daten!$J$2:$J$501,Settings!$C$23,Daten!$K$2:$K$501,Settings!$C$22,Daten!$C$2:$C$501,Settings!$C$18,Daten!$I$2:$I$501,Settings!$C$19),0)-1,0)</f>
        <v>0</v>
      </c>
      <c r="O11" s="12"/>
      <c r="Q11" s="13" t="n">
        <f aca="false">IFERROR(SUMIFS(Daten!$H$2:$H$501,Daten!$J$2:$J$501,Settings!$C$16,Daten!$K$2:$K$501,Settings!$C$17,Daten!$C$2:$C$501,Settings!$C$18,Daten!$I$2:$I$501,"&lt;&gt;Erledigt")/SUMIFS(Daten!$H$2:$H$501,Daten!$J$2:$J$501,Settings!$C$16,Daten!$K$2:$K$501,Settings!$C$17,Daten!$C$2:$C$501,Settings!$C$18,Daten!$I$2:$I$501,Settings!$C$19),0)</f>
        <v>0.0484496124031008</v>
      </c>
      <c r="R11" s="13"/>
    </row>
    <row r="12" customFormat="false" ht="9.75" hidden="false" customHeight="true" outlineLevel="0" collapsed="false"/>
    <row r="13" customFormat="false" ht="18" hidden="false" customHeight="true" outlineLevel="0" collapsed="false">
      <c r="B13" s="15" t="s">
        <v>13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customFormat="false" ht="6" hidden="false" customHeight="true" outlineLevel="0" collapsed="false"/>
    <row r="15" customFormat="false" ht="18" hidden="false" customHeight="true" outlineLevel="0" collapsed="false">
      <c r="B15" s="16" t="s">
        <v>14</v>
      </c>
      <c r="C15" s="16"/>
      <c r="D15" s="1"/>
      <c r="E15" s="17" t="s">
        <v>15</v>
      </c>
      <c r="F15" s="17"/>
      <c r="G15" s="1"/>
      <c r="H15" s="17" t="s">
        <v>16</v>
      </c>
      <c r="I15" s="17"/>
      <c r="K15" s="16" t="s">
        <v>4</v>
      </c>
      <c r="L15" s="16"/>
      <c r="M15" s="1"/>
      <c r="N15" s="17" t="s">
        <v>15</v>
      </c>
      <c r="O15" s="17"/>
      <c r="P15" s="1"/>
      <c r="Q15" s="17" t="s">
        <v>17</v>
      </c>
      <c r="R15" s="17"/>
    </row>
    <row r="16" customFormat="false" ht="15" hidden="false" customHeight="false" outlineLevel="0" collapsed="false">
      <c r="B16" s="18" t="s">
        <v>18</v>
      </c>
      <c r="C16" s="18"/>
      <c r="D16" s="19"/>
      <c r="E16" s="20" t="n">
        <f aca="false">SUMIFS(Daten!$H$2:$H$501,Daten!$J$2:$J$501,Settings!$C$16,Daten!$K$2:$K$501,Settings!$C$17,Daten!$C$2:$C$501,Settings!$C$18,Daten!$I$2:$I$501,Settings!$C$19,Daten!$B$2:$B$501,"Robin")</f>
        <v>32.25</v>
      </c>
      <c r="F16" s="20"/>
      <c r="G16" s="19"/>
      <c r="H16" s="21" t="n">
        <f aca="false">IFERROR(SUMIFS(Daten!$H$2:$H$501,Daten!$J$2:$J$501,Settings!$C$16,Daten!$K$2:$K$501,Settings!$C$17,Daten!$C$2:$C$501,Settings!$C$18,Daten!$I$2:$I$501,Settings!$C$19,Daten!$B$2:$B$501,"Robin")/SUMIFS(Daten!$H$2:$H$501,Daten!$J$2:$J$501,Settings!$C$23,Daten!$K$2:$K$501,Settings!$C$22,Daten!$C$2:$C$501,Settings!$C$18,Daten!$I$2:$I$501,Settings!$C$19,Daten!$B$2:$B$501,"Robin")-1,0)</f>
        <v>0</v>
      </c>
      <c r="I16" s="21"/>
      <c r="K16" s="18" t="s">
        <v>19</v>
      </c>
      <c r="L16" s="18"/>
      <c r="M16" s="19"/>
      <c r="N16" s="20" t="n">
        <f aca="false">SUMIFS(Daten!$H$2:$H$501,Daten!$J$2:$J$501,Settings!$C$16,Daten!$K$2:$K$501,Settings!$C$17,Daten!$C$2:$C$501,Settings!$C$18,Daten!$I$2:$I$501,Settings!$C$19,Daten!$C$2:$C$501,"Konzept &amp; Strategie")</f>
        <v>6</v>
      </c>
      <c r="O16" s="20"/>
      <c r="P16" s="19"/>
      <c r="Q16" s="22" t="n">
        <f aca="false">IFERROR(SUMIFS(Daten!$H$2:$H$501,Daten!$J$2:$J$501,Settings!$C$16,Daten!$K$2:$K$501,Settings!$C$17,Daten!$C$2:$C$501,Settings!$C$18,Daten!$I$2:$I$501,Settings!$C$19,Daten!$C$2:$C$501,"Konzept &amp; Strategie")/$N$25,0)</f>
        <v>0.0968992248062015</v>
      </c>
      <c r="R16" s="22"/>
    </row>
    <row r="17" customFormat="false" ht="15" hidden="false" customHeight="false" outlineLevel="0" collapsed="false">
      <c r="B17" s="23" t="s">
        <v>20</v>
      </c>
      <c r="C17" s="23"/>
      <c r="E17" s="24" t="n">
        <f aca="false">SUMIFS(Daten!$H$2:$H$501,Daten!$J$2:$J$501,Settings!$C$16,Daten!$K$2:$K$501,Settings!$C$17,Daten!$C$2:$C$501,Settings!$C$18,Daten!$I$2:$I$501,Settings!$C$19,Daten!$B$2:$B$501,"Kathi")</f>
        <v>29.67</v>
      </c>
      <c r="F17" s="24"/>
      <c r="H17" s="25" t="n">
        <f aca="false">IFERROR(SUMIFS(Daten!$H$2:$H$501,Daten!$J$2:$J$501,Settings!$C$16,Daten!$K$2:$K$501,Settings!$C$17,Daten!$C$2:$C$501,Settings!$C$18,Daten!$I$2:$I$501,Settings!$C$19,Daten!$B$2:$B$501,"Kathi")/SUMIFS(Daten!$H$2:$H$501,Daten!$J$2:$J$501,Settings!$C$23,Daten!$K$2:$K$501,Settings!$C$22,Daten!$C$2:$C$501,Settings!$C$18,Daten!$I$2:$I$501,Settings!$C$19,Daten!$B$2:$B$501,"Kathi")-1,0)</f>
        <v>0</v>
      </c>
      <c r="I17" s="25"/>
      <c r="K17" s="23" t="s">
        <v>21</v>
      </c>
      <c r="L17" s="23"/>
      <c r="N17" s="24" t="n">
        <f aca="false">SUMIFS(Daten!$H$2:$H$501,Daten!$J$2:$J$501,Settings!$C$16,Daten!$K$2:$K$501,Settings!$C$17,Daten!$C$2:$C$501,Settings!$C$18,Daten!$I$2:$I$501,Settings!$C$19,Daten!$C$2:$C$501,"Recherche")</f>
        <v>7</v>
      </c>
      <c r="O17" s="24"/>
      <c r="Q17" s="26" t="n">
        <f aca="false">IFERROR(SUMIFS(Daten!$H$2:$H$501,Daten!$J$2:$J$501,Settings!$C$16,Daten!$K$2:$K$501,Settings!$C$17,Daten!$C$2:$C$501,Settings!$C$18,Daten!$I$2:$I$501,Settings!$C$19,Daten!$C$2:$C$501,"Recherche")/$N$25,0)</f>
        <v>0.113049095607235</v>
      </c>
      <c r="R17" s="26"/>
    </row>
    <row r="18" customFormat="false" ht="15" hidden="false" customHeight="false" outlineLevel="0" collapsed="false">
      <c r="B18" s="27" t="s">
        <v>22</v>
      </c>
      <c r="C18" s="27"/>
      <c r="D18" s="28"/>
      <c r="E18" s="29" t="n">
        <f aca="false">SUM(E16:E17)</f>
        <v>61.92</v>
      </c>
      <c r="F18" s="29"/>
      <c r="G18" s="28"/>
      <c r="H18" s="30" t="n">
        <f aca="false">IFERROR(SUMIFS(Daten!$H$2:$H$501,Daten!$J$2:$J$501,Settings!$C$16,Daten!$K$2:$K$501,Settings!$C$17,Daten!$C$2:$C$501,Settings!$C$18,Daten!$I$2:$I$501,Settings!$C$19)/SUMIFS(Daten!$H$2:$H$501,Daten!$J$2:$J$501,Settings!$C$23,Daten!$K$2:$K$501,Settings!$C$22,Daten!$C$2:$C$501,Settings!$C$18,Daten!$I$2:$I$501,Settings!$C$19)-1,0)</f>
        <v>0</v>
      </c>
      <c r="I18" s="30"/>
      <c r="K18" s="18" t="s">
        <v>23</v>
      </c>
      <c r="L18" s="18"/>
      <c r="M18" s="19"/>
      <c r="N18" s="20" t="n">
        <f aca="false">SUMIFS(Daten!$H$2:$H$501,Daten!$J$2:$J$501,Settings!$C$16,Daten!$K$2:$K$501,Settings!$C$17,Daten!$C$2:$C$501,Settings!$C$18,Daten!$I$2:$I$501,Settings!$C$19,Daten!$C$2:$C$501,"Workshop-Vorbereitung")</f>
        <v>12.5</v>
      </c>
      <c r="O18" s="20"/>
      <c r="P18" s="19"/>
      <c r="Q18" s="22" t="n">
        <f aca="false">IFERROR(SUMIFS(Daten!$H$2:$H$501,Daten!$J$2:$J$501,Settings!$C$16,Daten!$K$2:$K$501,Settings!$C$17,Daten!$C$2:$C$501,Settings!$C$18,Daten!$I$2:$I$501,Settings!$C$19,Daten!$C$2:$C$501,"Workshop-Vorbereitung")/$N$25,0)</f>
        <v>0.20187338501292</v>
      </c>
      <c r="R18" s="22"/>
    </row>
    <row r="19" customFormat="false" ht="15" hidden="false" customHeight="false" outlineLevel="0" collapsed="false">
      <c r="K19" s="23" t="s">
        <v>24</v>
      </c>
      <c r="L19" s="23"/>
      <c r="N19" s="24" t="n">
        <f aca="false">SUMIFS(Daten!$H$2:$H$501,Daten!$J$2:$J$501,Settings!$C$16,Daten!$K$2:$K$501,Settings!$C$17,Daten!$C$2:$C$501,Settings!$C$18,Daten!$I$2:$I$501,Settings!$C$19,Daten!$C$2:$C$501,"Workshop-Durchführung")</f>
        <v>9</v>
      </c>
      <c r="O19" s="24"/>
      <c r="Q19" s="26" t="n">
        <f aca="false">IFERROR(SUMIFS(Daten!$H$2:$H$501,Daten!$J$2:$J$501,Settings!$C$16,Daten!$K$2:$K$501,Settings!$C$17,Daten!$C$2:$C$501,Settings!$C$18,Daten!$I$2:$I$501,Settings!$C$19,Daten!$C$2:$C$501,"Workshop-Durchführung")/$N$25,0)</f>
        <v>0.145348837209302</v>
      </c>
      <c r="R19" s="26"/>
    </row>
    <row r="20" customFormat="false" ht="15" hidden="false" customHeight="false" outlineLevel="0" collapsed="false">
      <c r="K20" s="18" t="s">
        <v>25</v>
      </c>
      <c r="L20" s="18"/>
      <c r="M20" s="19"/>
      <c r="N20" s="20" t="n">
        <f aca="false">SUMIFS(Daten!$H$2:$H$501,Daten!$J$2:$J$501,Settings!$C$16,Daten!$K$2:$K$501,Settings!$C$17,Daten!$C$2:$C$501,Settings!$C$18,Daten!$I$2:$I$501,Settings!$C$19,Daten!$C$2:$C$501,"Schulkontakt")</f>
        <v>4</v>
      </c>
      <c r="O20" s="20"/>
      <c r="P20" s="19"/>
      <c r="Q20" s="22" t="n">
        <f aca="false">IFERROR(SUMIFS(Daten!$H$2:$H$501,Daten!$J$2:$J$501,Settings!$C$16,Daten!$K$2:$K$501,Settings!$C$17,Daten!$C$2:$C$501,Settings!$C$18,Daten!$I$2:$I$501,Settings!$C$19,Daten!$C$2:$C$501,"Schulkontakt")/$N$25,0)</f>
        <v>0.0645994832041344</v>
      </c>
      <c r="R20" s="22"/>
    </row>
    <row r="21" customFormat="false" ht="15" hidden="false" customHeight="false" outlineLevel="0" collapsed="false">
      <c r="K21" s="23" t="s">
        <v>26</v>
      </c>
      <c r="L21" s="23"/>
      <c r="N21" s="24" t="n">
        <f aca="false">SUMIFS(Daten!$H$2:$H$501,Daten!$J$2:$J$501,Settings!$C$16,Daten!$K$2:$K$501,Settings!$C$17,Daten!$C$2:$C$501,Settings!$C$18,Daten!$I$2:$I$501,Settings!$C$19,Daten!$C$2:$C$501,"Material &amp; Design")</f>
        <v>12.67</v>
      </c>
      <c r="O21" s="24"/>
      <c r="Q21" s="26" t="n">
        <f aca="false">IFERROR(SUMIFS(Daten!$H$2:$H$501,Daten!$J$2:$J$501,Settings!$C$16,Daten!$K$2:$K$501,Settings!$C$17,Daten!$C$2:$C$501,Settings!$C$18,Daten!$I$2:$I$501,Settings!$C$19,Daten!$C$2:$C$501,"Material &amp; Design")/$N$25,0)</f>
        <v>0.204618863049096</v>
      </c>
      <c r="R21" s="26"/>
    </row>
    <row r="22" customFormat="false" ht="15" hidden="false" customHeight="false" outlineLevel="0" collapsed="false">
      <c r="K22" s="18" t="s">
        <v>27</v>
      </c>
      <c r="L22" s="18"/>
      <c r="M22" s="19"/>
      <c r="N22" s="20" t="n">
        <f aca="false">SUMIFS(Daten!$H$2:$H$501,Daten!$J$2:$J$501,Settings!$C$16,Daten!$K$2:$K$501,Settings!$C$17,Daten!$C$2:$C$501,Settings!$C$18,Daten!$I$2:$I$501,Settings!$C$19,Daten!$C$2:$C$501,"Dokumentation")</f>
        <v>6.5</v>
      </c>
      <c r="O22" s="20"/>
      <c r="P22" s="19"/>
      <c r="Q22" s="22" t="n">
        <f aca="false">IFERROR(SUMIFS(Daten!$H$2:$H$501,Daten!$J$2:$J$501,Settings!$C$16,Daten!$K$2:$K$501,Settings!$C$17,Daten!$C$2:$C$501,Settings!$C$18,Daten!$I$2:$I$501,Settings!$C$19,Daten!$C$2:$C$501,"Dokumentation")/$N$25,0)</f>
        <v>0.104974160206718</v>
      </c>
      <c r="R22" s="22"/>
    </row>
    <row r="23" customFormat="false" ht="15" hidden="false" customHeight="false" outlineLevel="0" collapsed="false">
      <c r="K23" s="23" t="s">
        <v>28</v>
      </c>
      <c r="L23" s="23"/>
      <c r="N23" s="24" t="n">
        <f aca="false">SUMIFS(Daten!$H$2:$H$501,Daten!$J$2:$J$501,Settings!$C$16,Daten!$K$2:$K$501,Settings!$C$17,Daten!$C$2:$C$501,Settings!$C$18,Daten!$I$2:$I$501,Settings!$C$19,Daten!$C$2:$C$501,"Orga &amp; Abstimmung")</f>
        <v>4.25</v>
      </c>
      <c r="O23" s="24"/>
      <c r="Q23" s="26" t="n">
        <f aca="false">IFERROR(SUMIFS(Daten!$H$2:$H$501,Daten!$J$2:$J$501,Settings!$C$16,Daten!$K$2:$K$501,Settings!$C$17,Daten!$C$2:$C$501,Settings!$C$18,Daten!$I$2:$I$501,Settings!$C$19,Daten!$C$2:$C$501,"Orga &amp; Abstimmung")/$N$25,0)</f>
        <v>0.0686369509043928</v>
      </c>
      <c r="R23" s="26"/>
    </row>
    <row r="24" customFormat="false" ht="15" hidden="false" customHeight="false" outlineLevel="0" collapsed="false">
      <c r="K24" s="18" t="s">
        <v>29</v>
      </c>
      <c r="L24" s="18"/>
      <c r="M24" s="19"/>
      <c r="N24" s="20" t="n">
        <f aca="false">SUMIFS(Daten!$H$2:$H$501,Daten!$J$2:$J$501,Settings!$C$16,Daten!$K$2:$K$501,Settings!$C$17,Daten!$C$2:$C$501,Settings!$C$18,Daten!$I$2:$I$501,Settings!$C$19,Daten!$C$2:$C$501,"Sonstiges")</f>
        <v>0</v>
      </c>
      <c r="O24" s="20"/>
      <c r="P24" s="19"/>
      <c r="Q24" s="22" t="n">
        <f aca="false">IFERROR(SUMIFS(Daten!$H$2:$H$501,Daten!$J$2:$J$501,Settings!$C$16,Daten!$K$2:$K$501,Settings!$C$17,Daten!$C$2:$C$501,Settings!$C$18,Daten!$I$2:$I$501,Settings!$C$19,Daten!$C$2:$C$501,"Sonstiges")/$N$25,0)</f>
        <v>0</v>
      </c>
      <c r="R24" s="22"/>
    </row>
    <row r="25" customFormat="false" ht="15" hidden="false" customHeight="false" outlineLevel="0" collapsed="false">
      <c r="K25" s="27" t="s">
        <v>22</v>
      </c>
      <c r="L25" s="27"/>
      <c r="M25" s="28"/>
      <c r="N25" s="29" t="n">
        <f aca="false">SUM(N16:N24)</f>
        <v>61.92</v>
      </c>
      <c r="O25" s="29"/>
      <c r="P25" s="28"/>
      <c r="Q25" s="31" t="n">
        <f aca="false">IFERROR(N25/N25,0)</f>
        <v>1</v>
      </c>
      <c r="R25" s="31"/>
    </row>
    <row r="26" customFormat="false" ht="6" hidden="false" customHeight="true" outlineLevel="0" collapsed="false"/>
    <row r="27" customFormat="false" ht="18" hidden="false" customHeight="true" outlineLevel="0" collapsed="false">
      <c r="B27" s="15" t="s">
        <v>30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customFormat="false" ht="6" hidden="false" customHeight="true" outlineLevel="0" collapsed="false"/>
  </sheetData>
  <mergeCells count="81">
    <mergeCell ref="B2:R2"/>
    <mergeCell ref="B3:R3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N8:O8"/>
    <mergeCell ref="Q8:R8"/>
    <mergeCell ref="B9:C9"/>
    <mergeCell ref="E9:F9"/>
    <mergeCell ref="H9:I9"/>
    <mergeCell ref="K9:L9"/>
    <mergeCell ref="N9:O9"/>
    <mergeCell ref="Q9:R9"/>
    <mergeCell ref="B10:C10"/>
    <mergeCell ref="E10:F10"/>
    <mergeCell ref="H10:I10"/>
    <mergeCell ref="K10:L10"/>
    <mergeCell ref="N10:O10"/>
    <mergeCell ref="Q10:R10"/>
    <mergeCell ref="B11:C11"/>
    <mergeCell ref="E11:F11"/>
    <mergeCell ref="H11:I11"/>
    <mergeCell ref="K11:L11"/>
    <mergeCell ref="N11:O11"/>
    <mergeCell ref="Q11:R11"/>
    <mergeCell ref="B13:R13"/>
    <mergeCell ref="B15:C15"/>
    <mergeCell ref="E15:F15"/>
    <mergeCell ref="H15:I15"/>
    <mergeCell ref="K15:L15"/>
    <mergeCell ref="N15:O15"/>
    <mergeCell ref="Q15:R15"/>
    <mergeCell ref="B16:C16"/>
    <mergeCell ref="E16:F16"/>
    <mergeCell ref="H16:I16"/>
    <mergeCell ref="K16:L16"/>
    <mergeCell ref="N16:O16"/>
    <mergeCell ref="Q16:R16"/>
    <mergeCell ref="B17:C17"/>
    <mergeCell ref="E17:F17"/>
    <mergeCell ref="H17:I17"/>
    <mergeCell ref="K17:L17"/>
    <mergeCell ref="N17:O17"/>
    <mergeCell ref="Q17:R17"/>
    <mergeCell ref="B18:C18"/>
    <mergeCell ref="E18:F18"/>
    <mergeCell ref="H18:I18"/>
    <mergeCell ref="K18:L18"/>
    <mergeCell ref="N18:O18"/>
    <mergeCell ref="Q18:R18"/>
    <mergeCell ref="K19:L19"/>
    <mergeCell ref="N19:O19"/>
    <mergeCell ref="Q19:R19"/>
    <mergeCell ref="K20:L20"/>
    <mergeCell ref="N20:O20"/>
    <mergeCell ref="Q20:R20"/>
    <mergeCell ref="K21:L21"/>
    <mergeCell ref="N21:O21"/>
    <mergeCell ref="Q21:R21"/>
    <mergeCell ref="K22:L22"/>
    <mergeCell ref="N22:O22"/>
    <mergeCell ref="Q22:R22"/>
    <mergeCell ref="K23:L23"/>
    <mergeCell ref="N23:O23"/>
    <mergeCell ref="Q23:R23"/>
    <mergeCell ref="K24:L24"/>
    <mergeCell ref="N24:O24"/>
    <mergeCell ref="Q24:R24"/>
    <mergeCell ref="K25:L25"/>
    <mergeCell ref="N25:O25"/>
    <mergeCell ref="Q25:R25"/>
    <mergeCell ref="B27:R27"/>
  </mergeCells>
  <conditionalFormatting sqref="E16:E17">
    <cfRule type="dataBar" priority="2">
      <dataBar showValue="1" minLength="10" maxLength="90">
        <cfvo type="num" val="0"/>
        <cfvo type="max" val="0"/>
        <color rgb="FF4DA28E"/>
      </dataBar>
      <extLst>
        <ext xmlns:x14="http://schemas.microsoft.com/office/spreadsheetml/2009/9/main" uri="{B025F937-C7B1-47D3-B67F-A62EFF666E3E}">
          <x14:id>{9876F0CC-C653-4CD2-A61C-A34517E09818}</x14:id>
        </ext>
      </extLst>
    </cfRule>
  </conditionalFormatting>
  <conditionalFormatting sqref="N16:N24">
    <cfRule type="dataBar" priority="3">
      <dataBar showValue="1" minLength="10" maxLength="90">
        <cfvo type="num" val="0"/>
        <cfvo type="max" val="0"/>
        <color rgb="FF4DA28E"/>
      </dataBar>
      <extLst>
        <ext xmlns:x14="http://schemas.microsoft.com/office/spreadsheetml/2009/9/main" uri="{B025F937-C7B1-47D3-B67F-A62EFF666E3E}">
          <x14:id>{86A981A2-2461-497A-A675-B6B0E83C7037}</x14:id>
        </ext>
      </extLst>
    </cfRule>
  </conditionalFormatting>
  <dataValidations count="4">
    <dataValidation allowBlank="false" errorStyle="stop" operator="between" showDropDown="false" showErrorMessage="false" showInputMessage="false" sqref="B6" type="list">
      <formula1>Jahre</formula1>
      <formula2>0</formula2>
    </dataValidation>
    <dataValidation allowBlank="false" errorStyle="stop" operator="between" showDropDown="false" showErrorMessage="false" showInputMessage="false" sqref="E6" type="list">
      <formula1>F_Monat</formula1>
      <formula2>0</formula2>
    </dataValidation>
    <dataValidation allowBlank="false" errorStyle="stop" operator="between" showDropDown="false" showErrorMessage="false" showInputMessage="false" sqref="H6" type="list">
      <formula1>F_AP</formula1>
      <formula2>0</formula2>
    </dataValidation>
    <dataValidation allowBlank="false" errorStyle="stop" operator="between" showDropDown="false" showErrorMessage="false" showInputMessage="false" sqref="K6" type="list">
      <formula1>F_Status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76F0CC-C653-4CD2-A61C-A34517E09818}">
            <x14:dataBar minLength="10" maxLength="90" axisPosition="none" gradient="true">
              <x14:cfvo type="num">
                <xm:f>0</xm:f>
              </x14:cfvo>
              <x14:cfvo type="max"/>
              <x14:negativeFillColor rgb="FF4DA28E"/>
              <x14:axisColor rgb="FF000000"/>
            </x14:dataBar>
          </x14:cfRule>
          <xm:sqref>E16:E17</xm:sqref>
        </x14:conditionalFormatting>
        <x14:conditionalFormatting xmlns:xm="http://schemas.microsoft.com/office/excel/2006/main">
          <x14:cfRule type="dataBar" id="{86A981A2-2461-497A-A675-B6B0E83C7037}">
            <x14:dataBar minLength="10" maxLength="90" axisPosition="none" gradient="true">
              <x14:cfvo type="num">
                <xm:f>0</xm:f>
              </x14:cfvo>
              <x14:cfvo type="max"/>
              <x14:negativeFillColor rgb="FF4DA28E"/>
              <x14:axisColor rgb="FF000000"/>
            </x14:dataBar>
          </x14:cfRule>
          <xm:sqref>N16:N24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DA28E"/>
    <pageSetUpPr fitToPage="true"/>
  </sheetPr>
  <dimension ref="A1:L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6" min="5" style="0" width="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7"/>
  </cols>
  <sheetData>
    <row r="1" customFormat="false" ht="19.5" hidden="false" customHeight="true" outlineLevel="0" collapsed="false">
      <c r="A1" s="32" t="s">
        <v>31</v>
      </c>
      <c r="B1" s="33" t="s">
        <v>32</v>
      </c>
      <c r="C1" s="33" t="s">
        <v>33</v>
      </c>
      <c r="D1" s="33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2" t="s">
        <v>39</v>
      </c>
      <c r="J1" s="32" t="s">
        <v>40</v>
      </c>
      <c r="K1" s="33" t="s">
        <v>41</v>
      </c>
      <c r="L1" s="32" t="s">
        <v>42</v>
      </c>
    </row>
    <row r="2" customFormat="false" ht="15" hidden="false" customHeight="false" outlineLevel="0" collapsed="false">
      <c r="A2" s="35" t="n">
        <v>46238</v>
      </c>
      <c r="B2" s="36" t="s">
        <v>18</v>
      </c>
      <c r="C2" s="36" t="s">
        <v>19</v>
      </c>
      <c r="D2" s="36" t="s">
        <v>43</v>
      </c>
      <c r="E2" s="37" t="n">
        <v>0.375</v>
      </c>
      <c r="F2" s="37" t="n">
        <v>0.510416666666667</v>
      </c>
      <c r="G2" s="38" t="n">
        <v>15</v>
      </c>
      <c r="H2" s="39" t="n">
        <f aca="false">IF(OR($E2="",$F2=""),0,ROUND(MOD($F2-$E2,1)*24-N($G2)/60,2))</f>
        <v>3</v>
      </c>
      <c r="I2" s="40" t="s">
        <v>44</v>
      </c>
      <c r="J2" s="41" t="n">
        <f aca="false">IF($A2="",0,YEAR($A2))</f>
        <v>2026</v>
      </c>
      <c r="K2" s="36" t="str">
        <f aca="false">IF($A2="","",INDEX(Monate,MONTH($A2)))</f>
        <v>August</v>
      </c>
      <c r="L2" s="41" t="n">
        <f aca="false">IF($A2="",0,WEEKNUM($A2,2))</f>
        <v>32</v>
      </c>
    </row>
    <row r="3" customFormat="false" ht="15" hidden="false" customHeight="false" outlineLevel="0" collapsed="false">
      <c r="A3" s="42" t="n">
        <v>46238</v>
      </c>
      <c r="B3" s="43" t="s">
        <v>20</v>
      </c>
      <c r="C3" s="43" t="s">
        <v>21</v>
      </c>
      <c r="D3" s="43" t="s">
        <v>45</v>
      </c>
      <c r="E3" s="44" t="n">
        <v>0.416666666666667</v>
      </c>
      <c r="F3" s="44" t="n">
        <v>0.520833333333333</v>
      </c>
      <c r="G3" s="45" t="n">
        <v>0</v>
      </c>
      <c r="H3" s="46" t="n">
        <f aca="false">IF(OR($E3="",$F3=""),0,ROUND(MOD($F3-$E3,1)*24-N($G3)/60,2))</f>
        <v>2.5</v>
      </c>
      <c r="I3" s="47" t="s">
        <v>44</v>
      </c>
      <c r="J3" s="48" t="n">
        <f aca="false">IF($A3="",0,YEAR($A3))</f>
        <v>2026</v>
      </c>
      <c r="K3" s="43" t="str">
        <f aca="false">IF($A3="","",INDEX(Monate,MONTH($A3)))</f>
        <v>August</v>
      </c>
      <c r="L3" s="48" t="n">
        <f aca="false">IF($A3="",0,WEEKNUM($A3,2))</f>
        <v>32</v>
      </c>
    </row>
    <row r="4" customFormat="false" ht="15" hidden="false" customHeight="false" outlineLevel="0" collapsed="false">
      <c r="A4" s="35" t="n">
        <v>46239</v>
      </c>
      <c r="B4" s="36" t="s">
        <v>20</v>
      </c>
      <c r="C4" s="36" t="s">
        <v>25</v>
      </c>
      <c r="D4" s="36" t="s">
        <v>46</v>
      </c>
      <c r="E4" s="37" t="n">
        <v>0.583333333333333</v>
      </c>
      <c r="F4" s="37" t="n">
        <v>0.645833333333333</v>
      </c>
      <c r="G4" s="38" t="n">
        <v>0</v>
      </c>
      <c r="H4" s="39" t="n">
        <f aca="false">IF(OR($E4="",$F4=""),0,ROUND(MOD($F4-$E4,1)*24-N($G4)/60,2))</f>
        <v>1.5</v>
      </c>
      <c r="I4" s="40" t="s">
        <v>44</v>
      </c>
      <c r="J4" s="41" t="n">
        <f aca="false">IF($A4="",0,YEAR($A4))</f>
        <v>2026</v>
      </c>
      <c r="K4" s="36" t="str">
        <f aca="false">IF($A4="","",INDEX(Monate,MONTH($A4)))</f>
        <v>August</v>
      </c>
      <c r="L4" s="41" t="n">
        <f aca="false">IF($A4="",0,WEEKNUM($A4,2))</f>
        <v>32</v>
      </c>
    </row>
    <row r="5" customFormat="false" ht="15" hidden="false" customHeight="false" outlineLevel="0" collapsed="false">
      <c r="A5" s="42" t="n">
        <v>46240</v>
      </c>
      <c r="B5" s="43" t="s">
        <v>18</v>
      </c>
      <c r="C5" s="43" t="s">
        <v>28</v>
      </c>
      <c r="D5" s="43" t="s">
        <v>47</v>
      </c>
      <c r="E5" s="44" t="n">
        <v>0.375</v>
      </c>
      <c r="F5" s="44" t="n">
        <v>0.416666666666667</v>
      </c>
      <c r="G5" s="45" t="n">
        <v>0</v>
      </c>
      <c r="H5" s="46" t="n">
        <f aca="false">IF(OR($E5="",$F5=""),0,ROUND(MOD($F5-$E5,1)*24-N($G5)/60,2))</f>
        <v>1</v>
      </c>
      <c r="I5" s="47" t="s">
        <v>44</v>
      </c>
      <c r="J5" s="48" t="n">
        <f aca="false">IF($A5="",0,YEAR($A5))</f>
        <v>2026</v>
      </c>
      <c r="K5" s="43" t="str">
        <f aca="false">IF($A5="","",INDEX(Monate,MONTH($A5)))</f>
        <v>August</v>
      </c>
      <c r="L5" s="48" t="n">
        <f aca="false">IF($A5="",0,WEEKNUM($A5,2))</f>
        <v>32</v>
      </c>
    </row>
    <row r="6" customFormat="false" ht="15" hidden="false" customHeight="false" outlineLevel="0" collapsed="false">
      <c r="A6" s="35" t="n">
        <v>46240</v>
      </c>
      <c r="B6" s="36" t="s">
        <v>20</v>
      </c>
      <c r="C6" s="36" t="s">
        <v>28</v>
      </c>
      <c r="D6" s="36" t="s">
        <v>48</v>
      </c>
      <c r="E6" s="37" t="n">
        <v>0.375</v>
      </c>
      <c r="F6" s="37" t="n">
        <v>0.416666666666667</v>
      </c>
      <c r="G6" s="38" t="n">
        <v>0</v>
      </c>
      <c r="H6" s="39" t="n">
        <f aca="false">IF(OR($E6="",$F6=""),0,ROUND(MOD($F6-$E6,1)*24-N($G6)/60,2))</f>
        <v>1</v>
      </c>
      <c r="I6" s="40" t="s">
        <v>44</v>
      </c>
      <c r="J6" s="41" t="n">
        <f aca="false">IF($A6="",0,YEAR($A6))</f>
        <v>2026</v>
      </c>
      <c r="K6" s="36" t="str">
        <f aca="false">IF($A6="","",INDEX(Monate,MONTH($A6)))</f>
        <v>August</v>
      </c>
      <c r="L6" s="41" t="n">
        <f aca="false">IF($A6="",0,WEEKNUM($A6,2))</f>
        <v>32</v>
      </c>
    </row>
    <row r="7" customFormat="false" ht="15" hidden="false" customHeight="false" outlineLevel="0" collapsed="false">
      <c r="A7" s="42" t="n">
        <v>46245</v>
      </c>
      <c r="B7" s="43" t="s">
        <v>18</v>
      </c>
      <c r="C7" s="43" t="s">
        <v>23</v>
      </c>
      <c r="D7" s="43" t="s">
        <v>49</v>
      </c>
      <c r="E7" s="44" t="n">
        <v>0.354166666666667</v>
      </c>
      <c r="F7" s="44" t="n">
        <v>0.541666666666667</v>
      </c>
      <c r="G7" s="45" t="n">
        <v>30</v>
      </c>
      <c r="H7" s="46" t="n">
        <f aca="false">IF(OR($E7="",$F7=""),0,ROUND(MOD($F7-$E7,1)*24-N($G7)/60,2))</f>
        <v>4</v>
      </c>
      <c r="I7" s="47" t="s">
        <v>44</v>
      </c>
      <c r="J7" s="48" t="n">
        <f aca="false">IF($A7="",0,YEAR($A7))</f>
        <v>2026</v>
      </c>
      <c r="K7" s="43" t="str">
        <f aca="false">IF($A7="","",INDEX(Monate,MONTH($A7)))</f>
        <v>August</v>
      </c>
      <c r="L7" s="48" t="n">
        <f aca="false">IF($A7="",0,WEEKNUM($A7,2))</f>
        <v>33</v>
      </c>
    </row>
    <row r="8" customFormat="false" ht="15" hidden="false" customHeight="false" outlineLevel="0" collapsed="false">
      <c r="A8" s="35" t="n">
        <v>46246</v>
      </c>
      <c r="B8" s="36" t="s">
        <v>20</v>
      </c>
      <c r="C8" s="36" t="s">
        <v>26</v>
      </c>
      <c r="D8" s="36" t="s">
        <v>50</v>
      </c>
      <c r="E8" s="37" t="n">
        <v>0.541666666666667</v>
      </c>
      <c r="F8" s="37" t="n">
        <v>0.739583333333333</v>
      </c>
      <c r="G8" s="38" t="n">
        <v>20</v>
      </c>
      <c r="H8" s="39" t="n">
        <f aca="false">IF(OR($E8="",$F8=""),0,ROUND(MOD($F8-$E8,1)*24-N($G8)/60,2))</f>
        <v>4.42</v>
      </c>
      <c r="I8" s="40" t="s">
        <v>44</v>
      </c>
      <c r="J8" s="41" t="n">
        <f aca="false">IF($A8="",0,YEAR($A8))</f>
        <v>2026</v>
      </c>
      <c r="K8" s="36" t="str">
        <f aca="false">IF($A8="","",INDEX(Monate,MONTH($A8)))</f>
        <v>August</v>
      </c>
      <c r="L8" s="41" t="n">
        <f aca="false">IF($A8="",0,WEEKNUM($A8,2))</f>
        <v>33</v>
      </c>
    </row>
    <row r="9" customFormat="false" ht="15" hidden="false" customHeight="false" outlineLevel="0" collapsed="false">
      <c r="A9" s="42" t="n">
        <v>46247</v>
      </c>
      <c r="B9" s="43" t="s">
        <v>18</v>
      </c>
      <c r="C9" s="43" t="s">
        <v>21</v>
      </c>
      <c r="D9" s="43" t="s">
        <v>51</v>
      </c>
      <c r="E9" s="44" t="n">
        <v>0.416666666666667</v>
      </c>
      <c r="F9" s="44" t="n">
        <v>0.5</v>
      </c>
      <c r="G9" s="45" t="n">
        <v>0</v>
      </c>
      <c r="H9" s="46" t="n">
        <f aca="false">IF(OR($E9="",$F9=""),0,ROUND(MOD($F9-$E9,1)*24-N($G9)/60,2))</f>
        <v>2</v>
      </c>
      <c r="I9" s="47" t="s">
        <v>44</v>
      </c>
      <c r="J9" s="48" t="n">
        <f aca="false">IF($A9="",0,YEAR($A9))</f>
        <v>2026</v>
      </c>
      <c r="K9" s="43" t="str">
        <f aca="false">IF($A9="","",INDEX(Monate,MONTH($A9)))</f>
        <v>August</v>
      </c>
      <c r="L9" s="48" t="n">
        <f aca="false">IF($A9="",0,WEEKNUM($A9,2))</f>
        <v>33</v>
      </c>
    </row>
    <row r="10" customFormat="false" ht="15" hidden="false" customHeight="false" outlineLevel="0" collapsed="false">
      <c r="A10" s="35" t="n">
        <v>46252</v>
      </c>
      <c r="B10" s="36" t="s">
        <v>20</v>
      </c>
      <c r="C10" s="36" t="s">
        <v>23</v>
      </c>
      <c r="D10" s="36" t="s">
        <v>52</v>
      </c>
      <c r="E10" s="37" t="n">
        <v>0.385416666666667</v>
      </c>
      <c r="F10" s="37" t="n">
        <v>0.53125</v>
      </c>
      <c r="G10" s="38" t="n">
        <v>15</v>
      </c>
      <c r="H10" s="39" t="n">
        <f aca="false">IF(OR($E10="",$F10=""),0,ROUND(MOD($F10-$E10,1)*24-N($G10)/60,2))</f>
        <v>3.25</v>
      </c>
      <c r="I10" s="40" t="s">
        <v>44</v>
      </c>
      <c r="J10" s="41" t="n">
        <f aca="false">IF($A10="",0,YEAR($A10))</f>
        <v>2026</v>
      </c>
      <c r="K10" s="36" t="str">
        <f aca="false">IF($A10="","",INDEX(Monate,MONTH($A10)))</f>
        <v>August</v>
      </c>
      <c r="L10" s="41" t="n">
        <f aca="false">IF($A10="",0,WEEKNUM($A10,2))</f>
        <v>34</v>
      </c>
    </row>
    <row r="11" customFormat="false" ht="15" hidden="false" customHeight="false" outlineLevel="0" collapsed="false">
      <c r="A11" s="42" t="n">
        <v>46253</v>
      </c>
      <c r="B11" s="43" t="s">
        <v>18</v>
      </c>
      <c r="C11" s="43" t="s">
        <v>25</v>
      </c>
      <c r="D11" s="43" t="s">
        <v>53</v>
      </c>
      <c r="E11" s="44" t="n">
        <v>0.458333333333333</v>
      </c>
      <c r="F11" s="44" t="n">
        <v>0.520833333333333</v>
      </c>
      <c r="G11" s="45" t="n">
        <v>0</v>
      </c>
      <c r="H11" s="46" t="n">
        <f aca="false">IF(OR($E11="",$F11=""),0,ROUND(MOD($F11-$E11,1)*24-N($G11)/60,2))</f>
        <v>1.5</v>
      </c>
      <c r="I11" s="47" t="s">
        <v>44</v>
      </c>
      <c r="J11" s="48" t="n">
        <f aca="false">IF($A11="",0,YEAR($A11))</f>
        <v>2026</v>
      </c>
      <c r="K11" s="43" t="str">
        <f aca="false">IF($A11="","",INDEX(Monate,MONTH($A11)))</f>
        <v>August</v>
      </c>
      <c r="L11" s="48" t="n">
        <f aca="false">IF($A11="",0,WEEKNUM($A11,2))</f>
        <v>34</v>
      </c>
    </row>
    <row r="12" customFormat="false" ht="15" hidden="false" customHeight="false" outlineLevel="0" collapsed="false">
      <c r="A12" s="35" t="n">
        <v>46254</v>
      </c>
      <c r="B12" s="36" t="s">
        <v>18</v>
      </c>
      <c r="C12" s="36" t="s">
        <v>26</v>
      </c>
      <c r="D12" s="36" t="s">
        <v>54</v>
      </c>
      <c r="E12" s="37" t="n">
        <v>0.5625</v>
      </c>
      <c r="F12" s="37" t="n">
        <v>0.75</v>
      </c>
      <c r="G12" s="38" t="n">
        <v>30</v>
      </c>
      <c r="H12" s="39" t="n">
        <f aca="false">IF(OR($E12="",$F12=""),0,ROUND(MOD($F12-$E12,1)*24-N($G12)/60,2))</f>
        <v>4</v>
      </c>
      <c r="I12" s="40" t="s">
        <v>44</v>
      </c>
      <c r="J12" s="41" t="n">
        <f aca="false">IF($A12="",0,YEAR($A12))</f>
        <v>2026</v>
      </c>
      <c r="K12" s="36" t="str">
        <f aca="false">IF($A12="","",INDEX(Monate,MONTH($A12)))</f>
        <v>August</v>
      </c>
      <c r="L12" s="41" t="n">
        <f aca="false">IF($A12="",0,WEEKNUM($A12,2))</f>
        <v>34</v>
      </c>
    </row>
    <row r="13" customFormat="false" ht="15" hidden="false" customHeight="false" outlineLevel="0" collapsed="false">
      <c r="A13" s="42" t="n">
        <v>46259</v>
      </c>
      <c r="B13" s="43" t="s">
        <v>20</v>
      </c>
      <c r="C13" s="43" t="s">
        <v>24</v>
      </c>
      <c r="D13" s="43" t="s">
        <v>55</v>
      </c>
      <c r="E13" s="44" t="n">
        <v>0.333333333333333</v>
      </c>
      <c r="F13" s="44" t="n">
        <v>0.541666666666667</v>
      </c>
      <c r="G13" s="45" t="n">
        <v>30</v>
      </c>
      <c r="H13" s="46" t="n">
        <f aca="false">IF(OR($E13="",$F13=""),0,ROUND(MOD($F13-$E13,1)*24-N($G13)/60,2))</f>
        <v>4.5</v>
      </c>
      <c r="I13" s="47" t="s">
        <v>44</v>
      </c>
      <c r="J13" s="48" t="n">
        <f aca="false">IF($A13="",0,YEAR($A13))</f>
        <v>2026</v>
      </c>
      <c r="K13" s="43" t="str">
        <f aca="false">IF($A13="","",INDEX(Monate,MONTH($A13)))</f>
        <v>August</v>
      </c>
      <c r="L13" s="48" t="n">
        <f aca="false">IF($A13="",0,WEEKNUM($A13,2))</f>
        <v>35</v>
      </c>
    </row>
    <row r="14" customFormat="false" ht="15" hidden="false" customHeight="false" outlineLevel="0" collapsed="false">
      <c r="A14" s="35" t="n">
        <v>46259</v>
      </c>
      <c r="B14" s="36" t="s">
        <v>18</v>
      </c>
      <c r="C14" s="36" t="s">
        <v>24</v>
      </c>
      <c r="D14" s="36" t="s">
        <v>55</v>
      </c>
      <c r="E14" s="37" t="n">
        <v>0.333333333333333</v>
      </c>
      <c r="F14" s="37" t="n">
        <v>0.541666666666667</v>
      </c>
      <c r="G14" s="38" t="n">
        <v>30</v>
      </c>
      <c r="H14" s="39" t="n">
        <f aca="false">IF(OR($E14="",$F14=""),0,ROUND(MOD($F14-$E14,1)*24-N($G14)/60,2))</f>
        <v>4.5</v>
      </c>
      <c r="I14" s="40" t="s">
        <v>44</v>
      </c>
      <c r="J14" s="41" t="n">
        <f aca="false">IF($A14="",0,YEAR($A14))</f>
        <v>2026</v>
      </c>
      <c r="K14" s="36" t="str">
        <f aca="false">IF($A14="","",INDEX(Monate,MONTH($A14)))</f>
        <v>August</v>
      </c>
      <c r="L14" s="41" t="n">
        <f aca="false">IF($A14="",0,WEEKNUM($A14,2))</f>
        <v>35</v>
      </c>
    </row>
    <row r="15" customFormat="false" ht="15" hidden="false" customHeight="false" outlineLevel="0" collapsed="false">
      <c r="A15" s="42" t="n">
        <v>46260</v>
      </c>
      <c r="B15" s="43" t="s">
        <v>18</v>
      </c>
      <c r="C15" s="43" t="s">
        <v>27</v>
      </c>
      <c r="D15" s="43" t="s">
        <v>56</v>
      </c>
      <c r="E15" s="44" t="n">
        <v>0.375</v>
      </c>
      <c r="F15" s="44" t="n">
        <v>0.479166666666667</v>
      </c>
      <c r="G15" s="45" t="n">
        <v>0</v>
      </c>
      <c r="H15" s="46" t="n">
        <f aca="false">IF(OR($E15="",$F15=""),0,ROUND(MOD($F15-$E15,1)*24-N($G15)/60,2))</f>
        <v>2.5</v>
      </c>
      <c r="I15" s="47" t="s">
        <v>44</v>
      </c>
      <c r="J15" s="48" t="n">
        <f aca="false">IF($A15="",0,YEAR($A15))</f>
        <v>2026</v>
      </c>
      <c r="K15" s="43" t="str">
        <f aca="false">IF($A15="","",INDEX(Monate,MONTH($A15)))</f>
        <v>August</v>
      </c>
      <c r="L15" s="48" t="n">
        <f aca="false">IF($A15="",0,WEEKNUM($A15,2))</f>
        <v>35</v>
      </c>
    </row>
    <row r="16" customFormat="false" ht="15" hidden="false" customHeight="false" outlineLevel="0" collapsed="false">
      <c r="A16" s="35" t="n">
        <v>46261</v>
      </c>
      <c r="B16" s="36" t="s">
        <v>20</v>
      </c>
      <c r="C16" s="36" t="s">
        <v>27</v>
      </c>
      <c r="D16" s="36" t="s">
        <v>57</v>
      </c>
      <c r="E16" s="37" t="n">
        <v>0.583333333333333</v>
      </c>
      <c r="F16" s="37" t="n">
        <v>0.6875</v>
      </c>
      <c r="G16" s="38" t="n">
        <v>0</v>
      </c>
      <c r="H16" s="39" t="n">
        <f aca="false">IF(OR($E16="",$F16=""),0,ROUND(MOD($F16-$E16,1)*24-N($G16)/60,2))</f>
        <v>2.5</v>
      </c>
      <c r="I16" s="40" t="s">
        <v>44</v>
      </c>
      <c r="J16" s="41" t="n">
        <f aca="false">IF($A16="",0,YEAR($A16))</f>
        <v>2026</v>
      </c>
      <c r="K16" s="36" t="str">
        <f aca="false">IF($A16="","",INDEX(Monate,MONTH($A16)))</f>
        <v>August</v>
      </c>
      <c r="L16" s="41" t="n">
        <f aca="false">IF($A16="",0,WEEKNUM($A16,2))</f>
        <v>35</v>
      </c>
    </row>
    <row r="17" customFormat="false" ht="15" hidden="false" customHeight="false" outlineLevel="0" collapsed="false">
      <c r="A17" s="42" t="n">
        <v>46266</v>
      </c>
      <c r="B17" s="43" t="s">
        <v>18</v>
      </c>
      <c r="C17" s="43" t="s">
        <v>19</v>
      </c>
      <c r="D17" s="43" t="s">
        <v>58</v>
      </c>
      <c r="E17" s="44" t="n">
        <v>0.375</v>
      </c>
      <c r="F17" s="44" t="n">
        <v>0.5</v>
      </c>
      <c r="G17" s="45" t="n">
        <v>0</v>
      </c>
      <c r="H17" s="46" t="n">
        <f aca="false">IF(OR($E17="",$F17=""),0,ROUND(MOD($F17-$E17,1)*24-N($G17)/60,2))</f>
        <v>3</v>
      </c>
      <c r="I17" s="47" t="s">
        <v>44</v>
      </c>
      <c r="J17" s="48" t="n">
        <f aca="false">IF($A17="",0,YEAR($A17))</f>
        <v>2026</v>
      </c>
      <c r="K17" s="43" t="str">
        <f aca="false">IF($A17="","",INDEX(Monate,MONTH($A17)))</f>
        <v>September</v>
      </c>
      <c r="L17" s="48" t="n">
        <f aca="false">IF($A17="",0,WEEKNUM($A17,2))</f>
        <v>36</v>
      </c>
    </row>
    <row r="18" customFormat="false" ht="15" hidden="false" customHeight="false" outlineLevel="0" collapsed="false">
      <c r="A18" s="35" t="n">
        <v>46266</v>
      </c>
      <c r="B18" s="36" t="s">
        <v>20</v>
      </c>
      <c r="C18" s="36" t="s">
        <v>28</v>
      </c>
      <c r="D18" s="36" t="s">
        <v>59</v>
      </c>
      <c r="E18" s="37" t="n">
        <v>0.375</v>
      </c>
      <c r="F18" s="37" t="n">
        <v>0.427083333333333</v>
      </c>
      <c r="G18" s="38" t="n">
        <v>0</v>
      </c>
      <c r="H18" s="39" t="n">
        <f aca="false">IF(OR($E18="",$F18=""),0,ROUND(MOD($F18-$E18,1)*24-N($G18)/60,2))</f>
        <v>1.25</v>
      </c>
      <c r="I18" s="40" t="s">
        <v>44</v>
      </c>
      <c r="J18" s="41" t="n">
        <f aca="false">IF($A18="",0,YEAR($A18))</f>
        <v>2026</v>
      </c>
      <c r="K18" s="36" t="str">
        <f aca="false">IF($A18="","",INDEX(Monate,MONTH($A18)))</f>
        <v>September</v>
      </c>
      <c r="L18" s="41" t="n">
        <f aca="false">IF($A18="",0,WEEKNUM($A18,2))</f>
        <v>36</v>
      </c>
    </row>
    <row r="19" customFormat="false" ht="15" hidden="false" customHeight="false" outlineLevel="0" collapsed="false">
      <c r="A19" s="42" t="n">
        <v>46267</v>
      </c>
      <c r="B19" s="43" t="s">
        <v>20</v>
      </c>
      <c r="C19" s="43" t="s">
        <v>26</v>
      </c>
      <c r="D19" s="43" t="s">
        <v>60</v>
      </c>
      <c r="E19" s="44" t="n">
        <v>0.416666666666667</v>
      </c>
      <c r="F19" s="44" t="n">
        <v>0.625</v>
      </c>
      <c r="G19" s="45" t="n">
        <v>45</v>
      </c>
      <c r="H19" s="46" t="n">
        <f aca="false">IF(OR($E19="",$F19=""),0,ROUND(MOD($F19-$E19,1)*24-N($G19)/60,2))</f>
        <v>4.25</v>
      </c>
      <c r="I19" s="47" t="s">
        <v>44</v>
      </c>
      <c r="J19" s="48" t="n">
        <f aca="false">IF($A19="",0,YEAR($A19))</f>
        <v>2026</v>
      </c>
      <c r="K19" s="43" t="str">
        <f aca="false">IF($A19="","",INDEX(Monate,MONTH($A19)))</f>
        <v>September</v>
      </c>
      <c r="L19" s="48" t="n">
        <f aca="false">IF($A19="",0,WEEKNUM($A19,2))</f>
        <v>36</v>
      </c>
    </row>
    <row r="20" customFormat="false" ht="15" hidden="false" customHeight="false" outlineLevel="0" collapsed="false">
      <c r="A20" s="35" t="n">
        <v>46267</v>
      </c>
      <c r="B20" s="36" t="s">
        <v>18</v>
      </c>
      <c r="C20" s="36" t="s">
        <v>25</v>
      </c>
      <c r="D20" s="36" t="s">
        <v>61</v>
      </c>
      <c r="E20" s="37" t="n">
        <v>0.645833333333333</v>
      </c>
      <c r="F20" s="37" t="n">
        <v>0.6875</v>
      </c>
      <c r="G20" s="38" t="n">
        <v>0</v>
      </c>
      <c r="H20" s="39" t="n">
        <f aca="false">IF(OR($E20="",$F20=""),0,ROUND(MOD($F20-$E20,1)*24-N($G20)/60,2))</f>
        <v>1</v>
      </c>
      <c r="I20" s="40" t="s">
        <v>44</v>
      </c>
      <c r="J20" s="41" t="n">
        <f aca="false">IF($A20="",0,YEAR($A20))</f>
        <v>2026</v>
      </c>
      <c r="K20" s="36" t="str">
        <f aca="false">IF($A20="","",INDEX(Monate,MONTH($A20)))</f>
        <v>September</v>
      </c>
      <c r="L20" s="41" t="n">
        <f aca="false">IF($A20="",0,WEEKNUM($A20,2))</f>
        <v>36</v>
      </c>
    </row>
    <row r="21" customFormat="false" ht="15" hidden="false" customHeight="false" outlineLevel="0" collapsed="false">
      <c r="A21" s="42" t="n">
        <v>46268</v>
      </c>
      <c r="B21" s="43" t="s">
        <v>18</v>
      </c>
      <c r="C21" s="43" t="s">
        <v>23</v>
      </c>
      <c r="D21" s="43" t="s">
        <v>62</v>
      </c>
      <c r="E21" s="44" t="n">
        <v>0.364583333333333</v>
      </c>
      <c r="F21" s="44" t="n">
        <v>0.510416666666667</v>
      </c>
      <c r="G21" s="45" t="n">
        <v>15</v>
      </c>
      <c r="H21" s="46" t="n">
        <f aca="false">IF(OR($E21="",$F21=""),0,ROUND(MOD($F21-$E21,1)*24-N($G21)/60,2))</f>
        <v>3.25</v>
      </c>
      <c r="I21" s="47" t="s">
        <v>44</v>
      </c>
      <c r="J21" s="48" t="n">
        <f aca="false">IF($A21="",0,YEAR($A21))</f>
        <v>2026</v>
      </c>
      <c r="K21" s="43" t="str">
        <f aca="false">IF($A21="","",INDEX(Monate,MONTH($A21)))</f>
        <v>September</v>
      </c>
      <c r="L21" s="48" t="n">
        <f aca="false">IF($A21="",0,WEEKNUM($A21,2))</f>
        <v>36</v>
      </c>
    </row>
    <row r="22" customFormat="false" ht="15" hidden="false" customHeight="false" outlineLevel="0" collapsed="false">
      <c r="A22" s="35" t="n">
        <v>46268</v>
      </c>
      <c r="B22" s="36" t="s">
        <v>20</v>
      </c>
      <c r="C22" s="36" t="s">
        <v>21</v>
      </c>
      <c r="D22" s="36" t="s">
        <v>63</v>
      </c>
      <c r="E22" s="37" t="n">
        <v>0.541666666666667</v>
      </c>
      <c r="F22" s="37" t="n">
        <v>0.645833333333333</v>
      </c>
      <c r="G22" s="38" t="n">
        <v>0</v>
      </c>
      <c r="H22" s="39" t="n">
        <f aca="false">IF(OR($E22="",$F22=""),0,ROUND(MOD($F22-$E22,1)*24-N($G22)/60,2))</f>
        <v>2.5</v>
      </c>
      <c r="I22" s="40" t="s">
        <v>44</v>
      </c>
      <c r="J22" s="41" t="n">
        <f aca="false">IF($A22="",0,YEAR($A22))</f>
        <v>2026</v>
      </c>
      <c r="K22" s="36" t="str">
        <f aca="false">IF($A22="","",INDEX(Monate,MONTH($A22)))</f>
        <v>September</v>
      </c>
      <c r="L22" s="41" t="n">
        <f aca="false">IF($A22="",0,WEEKNUM($A22,2))</f>
        <v>36</v>
      </c>
    </row>
    <row r="23" customFormat="false" ht="15" hidden="false" customHeight="false" outlineLevel="0" collapsed="false">
      <c r="A23" s="42" t="n">
        <v>46269</v>
      </c>
      <c r="B23" s="43" t="s">
        <v>18</v>
      </c>
      <c r="C23" s="43" t="s">
        <v>27</v>
      </c>
      <c r="D23" s="43" t="s">
        <v>64</v>
      </c>
      <c r="E23" s="44" t="n">
        <v>0.666666666666667</v>
      </c>
      <c r="F23" s="44" t="n">
        <v>0.729166666666667</v>
      </c>
      <c r="G23" s="45" t="n">
        <v>0</v>
      </c>
      <c r="H23" s="46" t="n">
        <f aca="false">IF(OR($E23="",$F23=""),0,ROUND(MOD($F23-$E23,1)*24-N($G23)/60,2))</f>
        <v>1.5</v>
      </c>
      <c r="I23" s="47" t="s">
        <v>44</v>
      </c>
      <c r="J23" s="48" t="n">
        <f aca="false">IF($A23="",0,YEAR($A23))</f>
        <v>2026</v>
      </c>
      <c r="K23" s="43" t="str">
        <f aca="false">IF($A23="","",INDEX(Monate,MONTH($A23)))</f>
        <v>September</v>
      </c>
      <c r="L23" s="48" t="n">
        <f aca="false">IF($A23="",0,WEEKNUM($A23,2))</f>
        <v>36</v>
      </c>
    </row>
    <row r="24" customFormat="false" ht="15" hidden="false" customHeight="false" outlineLevel="0" collapsed="false">
      <c r="A24" s="35" t="n">
        <v>46272</v>
      </c>
      <c r="B24" s="36" t="s">
        <v>20</v>
      </c>
      <c r="C24" s="36" t="s">
        <v>23</v>
      </c>
      <c r="D24" s="36" t="s">
        <v>65</v>
      </c>
      <c r="E24" s="37" t="n">
        <v>0.375</v>
      </c>
      <c r="F24" s="37" t="n">
        <v>0.458333333333333</v>
      </c>
      <c r="G24" s="38" t="n">
        <v>0</v>
      </c>
      <c r="H24" s="39" t="n">
        <f aca="false">IF(OR($E24="",$F24=""),0,ROUND(MOD($F24-$E24,1)*24-N($G24)/60,2))</f>
        <v>2</v>
      </c>
      <c r="I24" s="40" t="s">
        <v>66</v>
      </c>
      <c r="J24" s="41" t="n">
        <f aca="false">IF($A24="",0,YEAR($A24))</f>
        <v>2026</v>
      </c>
      <c r="K24" s="36" t="str">
        <f aca="false">IF($A24="","",INDEX(Monate,MONTH($A24)))</f>
        <v>September</v>
      </c>
      <c r="L24" s="41" t="n">
        <f aca="false">IF($A24="",0,WEEKNUM($A24,2))</f>
        <v>37</v>
      </c>
    </row>
    <row r="25" customFormat="false" ht="15" hidden="false" customHeight="false" outlineLevel="0" collapsed="false">
      <c r="A25" s="42" t="n">
        <v>46272</v>
      </c>
      <c r="B25" s="43" t="s">
        <v>18</v>
      </c>
      <c r="C25" s="43" t="s">
        <v>28</v>
      </c>
      <c r="D25" s="43" t="s">
        <v>67</v>
      </c>
      <c r="E25" s="44" t="n">
        <v>0.458333333333333</v>
      </c>
      <c r="F25" s="44" t="n">
        <v>0.5</v>
      </c>
      <c r="G25" s="45" t="n">
        <v>0</v>
      </c>
      <c r="H25" s="46" t="n">
        <f aca="false">IF(OR($E25="",$F25=""),0,ROUND(MOD($F25-$E25,1)*24-N($G25)/60,2))</f>
        <v>1</v>
      </c>
      <c r="I25" s="47" t="s">
        <v>66</v>
      </c>
      <c r="J25" s="48" t="n">
        <f aca="false">IF($A25="",0,YEAR($A25))</f>
        <v>2026</v>
      </c>
      <c r="K25" s="43" t="str">
        <f aca="false">IF($A25="","",INDEX(Monate,MONTH($A25)))</f>
        <v>September</v>
      </c>
      <c r="L25" s="48" t="n">
        <f aca="false">IF($A25="",0,WEEKNUM($A25,2))</f>
        <v>37</v>
      </c>
    </row>
    <row r="26" customFormat="false" ht="15" hidden="false" customHeight="false" outlineLevel="0" collapsed="false">
      <c r="A26" s="35"/>
      <c r="B26" s="36"/>
      <c r="C26" s="36"/>
      <c r="D26" s="36"/>
      <c r="E26" s="37"/>
      <c r="F26" s="37"/>
      <c r="G26" s="38"/>
      <c r="H26" s="39" t="n">
        <f aca="false">IF(OR($E26="",$F26=""),0,ROUND(MOD($F26-$E26,1)*24-N($G26)/60,2))</f>
        <v>0</v>
      </c>
      <c r="I26" s="40"/>
      <c r="J26" s="41" t="n">
        <f aca="false">IF($A26="",0,YEAR($A26))</f>
        <v>0</v>
      </c>
      <c r="K26" s="36" t="str">
        <f aca="false">IF($A26="","",INDEX(Monate,MONTH($A26)))</f>
        <v/>
      </c>
      <c r="L26" s="41" t="n">
        <f aca="false">IF($A26="",0,WEEKNUM($A26,2))</f>
        <v>0</v>
      </c>
    </row>
    <row r="27" customFormat="false" ht="15" hidden="false" customHeight="false" outlineLevel="0" collapsed="false">
      <c r="A27" s="42"/>
      <c r="B27" s="43"/>
      <c r="C27" s="43"/>
      <c r="D27" s="43"/>
      <c r="E27" s="44"/>
      <c r="F27" s="44"/>
      <c r="G27" s="45"/>
      <c r="H27" s="46" t="n">
        <f aca="false">IF(OR($E27="",$F27=""),0,ROUND(MOD($F27-$E27,1)*24-N($G27)/60,2))</f>
        <v>0</v>
      </c>
      <c r="I27" s="47"/>
      <c r="J27" s="48" t="n">
        <f aca="false">IF($A27="",0,YEAR($A27))</f>
        <v>0</v>
      </c>
      <c r="K27" s="43" t="str">
        <f aca="false">IF($A27="","",INDEX(Monate,MONTH($A27)))</f>
        <v/>
      </c>
      <c r="L27" s="48" t="n">
        <f aca="false">IF($A27="",0,WEEKNUM($A27,2))</f>
        <v>0</v>
      </c>
    </row>
    <row r="28" customFormat="false" ht="15" hidden="false" customHeight="false" outlineLevel="0" collapsed="false">
      <c r="A28" s="35"/>
      <c r="B28" s="36"/>
      <c r="C28" s="36"/>
      <c r="D28" s="36"/>
      <c r="E28" s="37"/>
      <c r="F28" s="37"/>
      <c r="G28" s="38"/>
      <c r="H28" s="39" t="n">
        <f aca="false">IF(OR($E28="",$F28=""),0,ROUND(MOD($F28-$E28,1)*24-N($G28)/60,2))</f>
        <v>0</v>
      </c>
      <c r="I28" s="40"/>
      <c r="J28" s="41" t="n">
        <f aca="false">IF($A28="",0,YEAR($A28))</f>
        <v>0</v>
      </c>
      <c r="K28" s="36" t="str">
        <f aca="false">IF($A28="","",INDEX(Monate,MONTH($A28)))</f>
        <v/>
      </c>
      <c r="L28" s="41" t="n">
        <f aca="false">IF($A28="",0,WEEKNUM($A28,2))</f>
        <v>0</v>
      </c>
    </row>
    <row r="29" customFormat="false" ht="15" hidden="false" customHeight="false" outlineLevel="0" collapsed="false">
      <c r="A29" s="42"/>
      <c r="B29" s="43"/>
      <c r="C29" s="43"/>
      <c r="D29" s="43"/>
      <c r="E29" s="44"/>
      <c r="F29" s="44"/>
      <c r="G29" s="45"/>
      <c r="H29" s="46" t="n">
        <f aca="false">IF(OR($E29="",$F29=""),0,ROUND(MOD($F29-$E29,1)*24-N($G29)/60,2))</f>
        <v>0</v>
      </c>
      <c r="I29" s="47"/>
      <c r="J29" s="48" t="n">
        <f aca="false">IF($A29="",0,YEAR($A29))</f>
        <v>0</v>
      </c>
      <c r="K29" s="43" t="str">
        <f aca="false">IF($A29="","",INDEX(Monate,MONTH($A29)))</f>
        <v/>
      </c>
      <c r="L29" s="48" t="n">
        <f aca="false">IF($A29="",0,WEEKNUM($A29,2))</f>
        <v>0</v>
      </c>
    </row>
    <row r="30" customFormat="false" ht="15" hidden="false" customHeight="false" outlineLevel="0" collapsed="false">
      <c r="A30" s="35"/>
      <c r="B30" s="36"/>
      <c r="C30" s="36"/>
      <c r="D30" s="36"/>
      <c r="E30" s="37"/>
      <c r="F30" s="37"/>
      <c r="G30" s="38"/>
      <c r="H30" s="39" t="n">
        <f aca="false">IF(OR($E30="",$F30=""),0,ROUND(MOD($F30-$E30,1)*24-N($G30)/60,2))</f>
        <v>0</v>
      </c>
      <c r="I30" s="40"/>
      <c r="J30" s="41" t="n">
        <f aca="false">IF($A30="",0,YEAR($A30))</f>
        <v>0</v>
      </c>
      <c r="K30" s="36" t="str">
        <f aca="false">IF($A30="","",INDEX(Monate,MONTH($A30)))</f>
        <v/>
      </c>
      <c r="L30" s="41" t="n">
        <f aca="false">IF($A30="",0,WEEKNUM($A30,2))</f>
        <v>0</v>
      </c>
    </row>
    <row r="31" customFormat="false" ht="15" hidden="false" customHeight="false" outlineLevel="0" collapsed="false">
      <c r="A31" s="42"/>
      <c r="B31" s="43"/>
      <c r="C31" s="43"/>
      <c r="D31" s="43"/>
      <c r="E31" s="44"/>
      <c r="F31" s="44"/>
      <c r="G31" s="45"/>
      <c r="H31" s="46" t="n">
        <f aca="false">IF(OR($E31="",$F31=""),0,ROUND(MOD($F31-$E31,1)*24-N($G31)/60,2))</f>
        <v>0</v>
      </c>
      <c r="I31" s="47"/>
      <c r="J31" s="48" t="n">
        <f aca="false">IF($A31="",0,YEAR($A31))</f>
        <v>0</v>
      </c>
      <c r="K31" s="43" t="str">
        <f aca="false">IF($A31="","",INDEX(Monate,MONTH($A31)))</f>
        <v/>
      </c>
      <c r="L31" s="48" t="n">
        <f aca="false">IF($A31="",0,WEEKNUM($A31,2))</f>
        <v>0</v>
      </c>
    </row>
    <row r="32" customFormat="false" ht="15" hidden="false" customHeight="false" outlineLevel="0" collapsed="false">
      <c r="A32" s="35"/>
      <c r="B32" s="36"/>
      <c r="C32" s="36"/>
      <c r="D32" s="36"/>
      <c r="E32" s="37"/>
      <c r="F32" s="37"/>
      <c r="G32" s="38"/>
      <c r="H32" s="39" t="n">
        <f aca="false">IF(OR($E32="",$F32=""),0,ROUND(MOD($F32-$E32,1)*24-N($G32)/60,2))</f>
        <v>0</v>
      </c>
      <c r="I32" s="40"/>
      <c r="J32" s="41" t="n">
        <f aca="false">IF($A32="",0,YEAR($A32))</f>
        <v>0</v>
      </c>
      <c r="K32" s="36" t="str">
        <f aca="false">IF($A32="","",INDEX(Monate,MONTH($A32)))</f>
        <v/>
      </c>
      <c r="L32" s="41" t="n">
        <f aca="false">IF($A32="",0,WEEKNUM($A32,2))</f>
        <v>0</v>
      </c>
    </row>
    <row r="33" customFormat="false" ht="15" hidden="false" customHeight="false" outlineLevel="0" collapsed="false">
      <c r="A33" s="42"/>
      <c r="B33" s="43"/>
      <c r="C33" s="43"/>
      <c r="D33" s="43"/>
      <c r="E33" s="44"/>
      <c r="F33" s="44"/>
      <c r="G33" s="45"/>
      <c r="H33" s="46" t="n">
        <f aca="false">IF(OR($E33="",$F33=""),0,ROUND(MOD($F33-$E33,1)*24-N($G33)/60,2))</f>
        <v>0</v>
      </c>
      <c r="I33" s="47"/>
      <c r="J33" s="48" t="n">
        <f aca="false">IF($A33="",0,YEAR($A33))</f>
        <v>0</v>
      </c>
      <c r="K33" s="43" t="str">
        <f aca="false">IF($A33="","",INDEX(Monate,MONTH($A33)))</f>
        <v/>
      </c>
      <c r="L33" s="48" t="n">
        <f aca="false">IF($A33="",0,WEEKNUM($A33,2))</f>
        <v>0</v>
      </c>
    </row>
    <row r="34" customFormat="false" ht="15" hidden="false" customHeight="false" outlineLevel="0" collapsed="false">
      <c r="A34" s="35"/>
      <c r="B34" s="36"/>
      <c r="C34" s="36"/>
      <c r="D34" s="36"/>
      <c r="E34" s="37"/>
      <c r="F34" s="37"/>
      <c r="G34" s="38"/>
      <c r="H34" s="39" t="n">
        <f aca="false">IF(OR($E34="",$F34=""),0,ROUND(MOD($F34-$E34,1)*24-N($G34)/60,2))</f>
        <v>0</v>
      </c>
      <c r="I34" s="40"/>
      <c r="J34" s="41" t="n">
        <f aca="false">IF($A34="",0,YEAR($A34))</f>
        <v>0</v>
      </c>
      <c r="K34" s="36" t="str">
        <f aca="false">IF($A34="","",INDEX(Monate,MONTH($A34)))</f>
        <v/>
      </c>
      <c r="L34" s="41" t="n">
        <f aca="false">IF($A34="",0,WEEKNUM($A34,2))</f>
        <v>0</v>
      </c>
    </row>
    <row r="35" customFormat="false" ht="15" hidden="false" customHeight="false" outlineLevel="0" collapsed="false">
      <c r="A35" s="42"/>
      <c r="B35" s="43"/>
      <c r="C35" s="43"/>
      <c r="D35" s="43"/>
      <c r="E35" s="44"/>
      <c r="F35" s="44"/>
      <c r="G35" s="45"/>
      <c r="H35" s="46" t="n">
        <f aca="false">IF(OR($E35="",$F35=""),0,ROUND(MOD($F35-$E35,1)*24-N($G35)/60,2))</f>
        <v>0</v>
      </c>
      <c r="I35" s="47"/>
      <c r="J35" s="48" t="n">
        <f aca="false">IF($A35="",0,YEAR($A35))</f>
        <v>0</v>
      </c>
      <c r="K35" s="43" t="str">
        <f aca="false">IF($A35="","",INDEX(Monate,MONTH($A35)))</f>
        <v/>
      </c>
      <c r="L35" s="48" t="n">
        <f aca="false">IF($A35="",0,WEEKNUM($A35,2))</f>
        <v>0</v>
      </c>
    </row>
    <row r="36" customFormat="false" ht="15" hidden="false" customHeight="false" outlineLevel="0" collapsed="false">
      <c r="A36" s="35"/>
      <c r="B36" s="36"/>
      <c r="C36" s="36"/>
      <c r="D36" s="36"/>
      <c r="E36" s="37"/>
      <c r="F36" s="37"/>
      <c r="G36" s="38"/>
      <c r="H36" s="39" t="n">
        <f aca="false">IF(OR($E36="",$F36=""),0,ROUND(MOD($F36-$E36,1)*24-N($G36)/60,2))</f>
        <v>0</v>
      </c>
      <c r="I36" s="40"/>
      <c r="J36" s="41" t="n">
        <f aca="false">IF($A36="",0,YEAR($A36))</f>
        <v>0</v>
      </c>
      <c r="K36" s="36" t="str">
        <f aca="false">IF($A36="","",INDEX(Monate,MONTH($A36)))</f>
        <v/>
      </c>
      <c r="L36" s="41" t="n">
        <f aca="false">IF($A36="",0,WEEKNUM($A36,2))</f>
        <v>0</v>
      </c>
    </row>
    <row r="37" customFormat="false" ht="15" hidden="false" customHeight="false" outlineLevel="0" collapsed="false">
      <c r="A37" s="42"/>
      <c r="B37" s="43"/>
      <c r="C37" s="43"/>
      <c r="D37" s="43"/>
      <c r="E37" s="44"/>
      <c r="F37" s="44"/>
      <c r="G37" s="45"/>
      <c r="H37" s="46" t="n">
        <f aca="false">IF(OR($E37="",$F37=""),0,ROUND(MOD($F37-$E37,1)*24-N($G37)/60,2))</f>
        <v>0</v>
      </c>
      <c r="I37" s="47"/>
      <c r="J37" s="48" t="n">
        <f aca="false">IF($A37="",0,YEAR($A37))</f>
        <v>0</v>
      </c>
      <c r="K37" s="43" t="str">
        <f aca="false">IF($A37="","",INDEX(Monate,MONTH($A37)))</f>
        <v/>
      </c>
      <c r="L37" s="48" t="n">
        <f aca="false">IF($A37="",0,WEEKNUM($A37,2))</f>
        <v>0</v>
      </c>
    </row>
    <row r="38" customFormat="false" ht="15" hidden="false" customHeight="false" outlineLevel="0" collapsed="false">
      <c r="A38" s="35"/>
      <c r="B38" s="36"/>
      <c r="C38" s="36"/>
      <c r="D38" s="36"/>
      <c r="E38" s="37"/>
      <c r="F38" s="37"/>
      <c r="G38" s="38"/>
      <c r="H38" s="39" t="n">
        <f aca="false">IF(OR($E38="",$F38=""),0,ROUND(MOD($F38-$E38,1)*24-N($G38)/60,2))</f>
        <v>0</v>
      </c>
      <c r="I38" s="40"/>
      <c r="J38" s="41" t="n">
        <f aca="false">IF($A38="",0,YEAR($A38))</f>
        <v>0</v>
      </c>
      <c r="K38" s="36" t="str">
        <f aca="false">IF($A38="","",INDEX(Monate,MONTH($A38)))</f>
        <v/>
      </c>
      <c r="L38" s="41" t="n">
        <f aca="false">IF($A38="",0,WEEKNUM($A38,2))</f>
        <v>0</v>
      </c>
    </row>
    <row r="39" customFormat="false" ht="15" hidden="false" customHeight="false" outlineLevel="0" collapsed="false">
      <c r="A39" s="42"/>
      <c r="B39" s="43"/>
      <c r="C39" s="43"/>
      <c r="D39" s="43"/>
      <c r="E39" s="44"/>
      <c r="F39" s="44"/>
      <c r="G39" s="45"/>
      <c r="H39" s="46" t="n">
        <f aca="false">IF(OR($E39="",$F39=""),0,ROUND(MOD($F39-$E39,1)*24-N($G39)/60,2))</f>
        <v>0</v>
      </c>
      <c r="I39" s="47"/>
      <c r="J39" s="48" t="n">
        <f aca="false">IF($A39="",0,YEAR($A39))</f>
        <v>0</v>
      </c>
      <c r="K39" s="43" t="str">
        <f aca="false">IF($A39="","",INDEX(Monate,MONTH($A39)))</f>
        <v/>
      </c>
      <c r="L39" s="48" t="n">
        <f aca="false">IF($A39="",0,WEEKNUM($A39,2))</f>
        <v>0</v>
      </c>
    </row>
    <row r="40" customFormat="false" ht="15" hidden="false" customHeight="false" outlineLevel="0" collapsed="false">
      <c r="A40" s="35"/>
      <c r="B40" s="36"/>
      <c r="C40" s="36"/>
      <c r="D40" s="36"/>
      <c r="E40" s="37"/>
      <c r="F40" s="37"/>
      <c r="G40" s="38"/>
      <c r="H40" s="39" t="n">
        <f aca="false">IF(OR($E40="",$F40=""),0,ROUND(MOD($F40-$E40,1)*24-N($G40)/60,2))</f>
        <v>0</v>
      </c>
      <c r="I40" s="40"/>
      <c r="J40" s="41" t="n">
        <f aca="false">IF($A40="",0,YEAR($A40))</f>
        <v>0</v>
      </c>
      <c r="K40" s="36" t="str">
        <f aca="false">IF($A40="","",INDEX(Monate,MONTH($A40)))</f>
        <v/>
      </c>
      <c r="L40" s="41" t="n">
        <f aca="false">IF($A40="",0,WEEKNUM($A40,2))</f>
        <v>0</v>
      </c>
    </row>
    <row r="41" customFormat="false" ht="15" hidden="false" customHeight="false" outlineLevel="0" collapsed="false">
      <c r="A41" s="42"/>
      <c r="B41" s="43"/>
      <c r="C41" s="43"/>
      <c r="D41" s="43"/>
      <c r="E41" s="44"/>
      <c r="F41" s="44"/>
      <c r="G41" s="45"/>
      <c r="H41" s="46" t="n">
        <f aca="false">IF(OR($E41="",$F41=""),0,ROUND(MOD($F41-$E41,1)*24-N($G41)/60,2))</f>
        <v>0</v>
      </c>
      <c r="I41" s="47"/>
      <c r="J41" s="48" t="n">
        <f aca="false">IF($A41="",0,YEAR($A41))</f>
        <v>0</v>
      </c>
      <c r="K41" s="43" t="str">
        <f aca="false">IF($A41="","",INDEX(Monate,MONTH($A41)))</f>
        <v/>
      </c>
      <c r="L41" s="48" t="n">
        <f aca="false">IF($A41="",0,WEEKNUM($A41,2))</f>
        <v>0</v>
      </c>
    </row>
    <row r="42" customFormat="false" ht="15" hidden="false" customHeight="false" outlineLevel="0" collapsed="false">
      <c r="A42" s="35"/>
      <c r="B42" s="36"/>
      <c r="C42" s="36"/>
      <c r="D42" s="36"/>
      <c r="E42" s="37"/>
      <c r="F42" s="37"/>
      <c r="G42" s="38"/>
      <c r="H42" s="39" t="n">
        <f aca="false">IF(OR($E42="",$F42=""),0,ROUND(MOD($F42-$E42,1)*24-N($G42)/60,2))</f>
        <v>0</v>
      </c>
      <c r="I42" s="40"/>
      <c r="J42" s="41" t="n">
        <f aca="false">IF($A42="",0,YEAR($A42))</f>
        <v>0</v>
      </c>
      <c r="K42" s="36" t="str">
        <f aca="false">IF($A42="","",INDEX(Monate,MONTH($A42)))</f>
        <v/>
      </c>
      <c r="L42" s="41" t="n">
        <f aca="false">IF($A42="",0,WEEKNUM($A42,2))</f>
        <v>0</v>
      </c>
    </row>
    <row r="43" customFormat="false" ht="15" hidden="false" customHeight="false" outlineLevel="0" collapsed="false">
      <c r="A43" s="42"/>
      <c r="B43" s="43"/>
      <c r="C43" s="43"/>
      <c r="D43" s="43"/>
      <c r="E43" s="44"/>
      <c r="F43" s="44"/>
      <c r="G43" s="45"/>
      <c r="H43" s="46" t="n">
        <f aca="false">IF(OR($E43="",$F43=""),0,ROUND(MOD($F43-$E43,1)*24-N($G43)/60,2))</f>
        <v>0</v>
      </c>
      <c r="I43" s="47"/>
      <c r="J43" s="48" t="n">
        <f aca="false">IF($A43="",0,YEAR($A43))</f>
        <v>0</v>
      </c>
      <c r="K43" s="43" t="str">
        <f aca="false">IF($A43="","",INDEX(Monate,MONTH($A43)))</f>
        <v/>
      </c>
      <c r="L43" s="48" t="n">
        <f aca="false">IF($A43="",0,WEEKNUM($A43,2))</f>
        <v>0</v>
      </c>
    </row>
    <row r="44" customFormat="false" ht="15" hidden="false" customHeight="false" outlineLevel="0" collapsed="false">
      <c r="A44" s="35"/>
      <c r="B44" s="36"/>
      <c r="C44" s="36"/>
      <c r="D44" s="36"/>
      <c r="E44" s="37"/>
      <c r="F44" s="37"/>
      <c r="G44" s="38"/>
      <c r="H44" s="39" t="n">
        <f aca="false">IF(OR($E44="",$F44=""),0,ROUND(MOD($F44-$E44,1)*24-N($G44)/60,2))</f>
        <v>0</v>
      </c>
      <c r="I44" s="40"/>
      <c r="J44" s="41" t="n">
        <f aca="false">IF($A44="",0,YEAR($A44))</f>
        <v>0</v>
      </c>
      <c r="K44" s="36" t="str">
        <f aca="false">IF($A44="","",INDEX(Monate,MONTH($A44)))</f>
        <v/>
      </c>
      <c r="L44" s="41" t="n">
        <f aca="false">IF($A44="",0,WEEKNUM($A44,2))</f>
        <v>0</v>
      </c>
    </row>
    <row r="45" customFormat="false" ht="15" hidden="false" customHeight="false" outlineLevel="0" collapsed="false">
      <c r="A45" s="42"/>
      <c r="B45" s="43"/>
      <c r="C45" s="43"/>
      <c r="D45" s="43"/>
      <c r="E45" s="44"/>
      <c r="F45" s="44"/>
      <c r="G45" s="45"/>
      <c r="H45" s="46" t="n">
        <f aca="false">IF(OR($E45="",$F45=""),0,ROUND(MOD($F45-$E45,1)*24-N($G45)/60,2))</f>
        <v>0</v>
      </c>
      <c r="I45" s="47"/>
      <c r="J45" s="48" t="n">
        <f aca="false">IF($A45="",0,YEAR($A45))</f>
        <v>0</v>
      </c>
      <c r="K45" s="43" t="str">
        <f aca="false">IF($A45="","",INDEX(Monate,MONTH($A45)))</f>
        <v/>
      </c>
      <c r="L45" s="48" t="n">
        <f aca="false">IF($A45="",0,WEEKNUM($A45,2))</f>
        <v>0</v>
      </c>
    </row>
    <row r="46" customFormat="false" ht="15" hidden="false" customHeight="false" outlineLevel="0" collapsed="false">
      <c r="A46" s="35"/>
      <c r="B46" s="36"/>
      <c r="C46" s="36"/>
      <c r="D46" s="36"/>
      <c r="E46" s="37"/>
      <c r="F46" s="37"/>
      <c r="G46" s="38"/>
      <c r="H46" s="39" t="n">
        <f aca="false">IF(OR($E46="",$F46=""),0,ROUND(MOD($F46-$E46,1)*24-N($G46)/60,2))</f>
        <v>0</v>
      </c>
      <c r="I46" s="40"/>
      <c r="J46" s="41" t="n">
        <f aca="false">IF($A46="",0,YEAR($A46))</f>
        <v>0</v>
      </c>
      <c r="K46" s="36" t="str">
        <f aca="false">IF($A46="","",INDEX(Monate,MONTH($A46)))</f>
        <v/>
      </c>
      <c r="L46" s="41" t="n">
        <f aca="false">IF($A46="",0,WEEKNUM($A46,2))</f>
        <v>0</v>
      </c>
    </row>
    <row r="47" customFormat="false" ht="15" hidden="false" customHeight="false" outlineLevel="0" collapsed="false">
      <c r="A47" s="42"/>
      <c r="B47" s="43"/>
      <c r="C47" s="43"/>
      <c r="D47" s="43"/>
      <c r="E47" s="44"/>
      <c r="F47" s="44"/>
      <c r="G47" s="45"/>
      <c r="H47" s="46" t="n">
        <f aca="false">IF(OR($E47="",$F47=""),0,ROUND(MOD($F47-$E47,1)*24-N($G47)/60,2))</f>
        <v>0</v>
      </c>
      <c r="I47" s="47"/>
      <c r="J47" s="48" t="n">
        <f aca="false">IF($A47="",0,YEAR($A47))</f>
        <v>0</v>
      </c>
      <c r="K47" s="43" t="str">
        <f aca="false">IF($A47="","",INDEX(Monate,MONTH($A47)))</f>
        <v/>
      </c>
      <c r="L47" s="48" t="n">
        <f aca="false">IF($A47="",0,WEEKNUM($A47,2))</f>
        <v>0</v>
      </c>
    </row>
    <row r="48" customFormat="false" ht="15" hidden="false" customHeight="false" outlineLevel="0" collapsed="false">
      <c r="A48" s="35"/>
      <c r="B48" s="36"/>
      <c r="C48" s="36"/>
      <c r="D48" s="36"/>
      <c r="E48" s="37"/>
      <c r="F48" s="37"/>
      <c r="G48" s="38"/>
      <c r="H48" s="39" t="n">
        <f aca="false">IF(OR($E48="",$F48=""),0,ROUND(MOD($F48-$E48,1)*24-N($G48)/60,2))</f>
        <v>0</v>
      </c>
      <c r="I48" s="40"/>
      <c r="J48" s="41" t="n">
        <f aca="false">IF($A48="",0,YEAR($A48))</f>
        <v>0</v>
      </c>
      <c r="K48" s="36" t="str">
        <f aca="false">IF($A48="","",INDEX(Monate,MONTH($A48)))</f>
        <v/>
      </c>
      <c r="L48" s="41" t="n">
        <f aca="false">IF($A48="",0,WEEKNUM($A48,2))</f>
        <v>0</v>
      </c>
    </row>
    <row r="49" customFormat="false" ht="15" hidden="false" customHeight="false" outlineLevel="0" collapsed="false">
      <c r="A49" s="42"/>
      <c r="B49" s="43"/>
      <c r="C49" s="43"/>
      <c r="D49" s="43"/>
      <c r="E49" s="44"/>
      <c r="F49" s="44"/>
      <c r="G49" s="45"/>
      <c r="H49" s="46" t="n">
        <f aca="false">IF(OR($E49="",$F49=""),0,ROUND(MOD($F49-$E49,1)*24-N($G49)/60,2))</f>
        <v>0</v>
      </c>
      <c r="I49" s="47"/>
      <c r="J49" s="48" t="n">
        <f aca="false">IF($A49="",0,YEAR($A49))</f>
        <v>0</v>
      </c>
      <c r="K49" s="43" t="str">
        <f aca="false">IF($A49="","",INDEX(Monate,MONTH($A49)))</f>
        <v/>
      </c>
      <c r="L49" s="48" t="n">
        <f aca="false">IF($A49="",0,WEEKNUM($A49,2))</f>
        <v>0</v>
      </c>
    </row>
    <row r="50" customFormat="false" ht="15" hidden="false" customHeight="false" outlineLevel="0" collapsed="false">
      <c r="A50" s="35"/>
      <c r="B50" s="36"/>
      <c r="C50" s="36"/>
      <c r="D50" s="36"/>
      <c r="E50" s="37"/>
      <c r="F50" s="37"/>
      <c r="G50" s="38"/>
      <c r="H50" s="39" t="n">
        <f aca="false">IF(OR($E50="",$F50=""),0,ROUND(MOD($F50-$E50,1)*24-N($G50)/60,2))</f>
        <v>0</v>
      </c>
      <c r="I50" s="40"/>
      <c r="J50" s="41" t="n">
        <f aca="false">IF($A50="",0,YEAR($A50))</f>
        <v>0</v>
      </c>
      <c r="K50" s="36" t="str">
        <f aca="false">IF($A50="","",INDEX(Monate,MONTH($A50)))</f>
        <v/>
      </c>
      <c r="L50" s="41" t="n">
        <f aca="false">IF($A50="",0,WEEKNUM($A50,2))</f>
        <v>0</v>
      </c>
    </row>
    <row r="51" customFormat="false" ht="15" hidden="false" customHeight="false" outlineLevel="0" collapsed="false">
      <c r="A51" s="42"/>
      <c r="B51" s="43"/>
      <c r="C51" s="43"/>
      <c r="D51" s="43"/>
      <c r="E51" s="44"/>
      <c r="F51" s="44"/>
      <c r="G51" s="45"/>
      <c r="H51" s="46" t="n">
        <f aca="false">IF(OR($E51="",$F51=""),0,ROUND(MOD($F51-$E51,1)*24-N($G51)/60,2))</f>
        <v>0</v>
      </c>
      <c r="I51" s="47"/>
      <c r="J51" s="48" t="n">
        <f aca="false">IF($A51="",0,YEAR($A51))</f>
        <v>0</v>
      </c>
      <c r="K51" s="43" t="str">
        <f aca="false">IF($A51="","",INDEX(Monate,MONTH($A51)))</f>
        <v/>
      </c>
      <c r="L51" s="48" t="n">
        <f aca="false">IF($A51="",0,WEEKNUM($A51,2))</f>
        <v>0</v>
      </c>
    </row>
    <row r="52" customFormat="false" ht="15" hidden="false" customHeight="false" outlineLevel="0" collapsed="false">
      <c r="A52" s="35"/>
      <c r="B52" s="36"/>
      <c r="C52" s="36"/>
      <c r="D52" s="36"/>
      <c r="E52" s="37"/>
      <c r="F52" s="37"/>
      <c r="G52" s="38"/>
      <c r="H52" s="39" t="n">
        <f aca="false">IF(OR($E52="",$F52=""),0,ROUND(MOD($F52-$E52,1)*24-N($G52)/60,2))</f>
        <v>0</v>
      </c>
      <c r="I52" s="40"/>
      <c r="J52" s="41" t="n">
        <f aca="false">IF($A52="",0,YEAR($A52))</f>
        <v>0</v>
      </c>
      <c r="K52" s="36" t="str">
        <f aca="false">IF($A52="","",INDEX(Monate,MONTH($A52)))</f>
        <v/>
      </c>
      <c r="L52" s="41" t="n">
        <f aca="false">IF($A52="",0,WEEKNUM($A52,2))</f>
        <v>0</v>
      </c>
    </row>
    <row r="53" customFormat="false" ht="15" hidden="false" customHeight="false" outlineLevel="0" collapsed="false">
      <c r="A53" s="42"/>
      <c r="B53" s="43"/>
      <c r="C53" s="43"/>
      <c r="D53" s="43"/>
      <c r="E53" s="44"/>
      <c r="F53" s="44"/>
      <c r="G53" s="45"/>
      <c r="H53" s="46" t="n">
        <f aca="false">IF(OR($E53="",$F53=""),0,ROUND(MOD($F53-$E53,1)*24-N($G53)/60,2))</f>
        <v>0</v>
      </c>
      <c r="I53" s="47"/>
      <c r="J53" s="48" t="n">
        <f aca="false">IF($A53="",0,YEAR($A53))</f>
        <v>0</v>
      </c>
      <c r="K53" s="43" t="str">
        <f aca="false">IF($A53="","",INDEX(Monate,MONTH($A53)))</f>
        <v/>
      </c>
      <c r="L53" s="48" t="n">
        <f aca="false">IF($A53="",0,WEEKNUM($A53,2))</f>
        <v>0</v>
      </c>
    </row>
    <row r="54" customFormat="false" ht="15" hidden="false" customHeight="false" outlineLevel="0" collapsed="false">
      <c r="A54" s="35"/>
      <c r="B54" s="36"/>
      <c r="C54" s="36"/>
      <c r="D54" s="36"/>
      <c r="E54" s="37"/>
      <c r="F54" s="37"/>
      <c r="G54" s="38"/>
      <c r="H54" s="39" t="n">
        <f aca="false">IF(OR($E54="",$F54=""),0,ROUND(MOD($F54-$E54,1)*24-N($G54)/60,2))</f>
        <v>0</v>
      </c>
      <c r="I54" s="40"/>
      <c r="J54" s="41" t="n">
        <f aca="false">IF($A54="",0,YEAR($A54))</f>
        <v>0</v>
      </c>
      <c r="K54" s="36" t="str">
        <f aca="false">IF($A54="","",INDEX(Monate,MONTH($A54)))</f>
        <v/>
      </c>
      <c r="L54" s="41" t="n">
        <f aca="false">IF($A54="",0,WEEKNUM($A54,2))</f>
        <v>0</v>
      </c>
    </row>
    <row r="55" customFormat="false" ht="15" hidden="false" customHeight="false" outlineLevel="0" collapsed="false">
      <c r="A55" s="42"/>
      <c r="B55" s="43"/>
      <c r="C55" s="43"/>
      <c r="D55" s="43"/>
      <c r="E55" s="44"/>
      <c r="F55" s="44"/>
      <c r="G55" s="45"/>
      <c r="H55" s="46" t="n">
        <f aca="false">IF(OR($E55="",$F55=""),0,ROUND(MOD($F55-$E55,1)*24-N($G55)/60,2))</f>
        <v>0</v>
      </c>
      <c r="I55" s="47"/>
      <c r="J55" s="48" t="n">
        <f aca="false">IF($A55="",0,YEAR($A55))</f>
        <v>0</v>
      </c>
      <c r="K55" s="43" t="str">
        <f aca="false">IF($A55="","",INDEX(Monate,MONTH($A55)))</f>
        <v/>
      </c>
      <c r="L55" s="48" t="n">
        <f aca="false">IF($A55="",0,WEEKNUM($A55,2))</f>
        <v>0</v>
      </c>
    </row>
    <row r="56" customFormat="false" ht="15" hidden="false" customHeight="false" outlineLevel="0" collapsed="false">
      <c r="A56" s="35"/>
      <c r="B56" s="36"/>
      <c r="C56" s="36"/>
      <c r="D56" s="36"/>
      <c r="E56" s="37"/>
      <c r="F56" s="37"/>
      <c r="G56" s="38"/>
      <c r="H56" s="39" t="n">
        <f aca="false">IF(OR($E56="",$F56=""),0,ROUND(MOD($F56-$E56,1)*24-N($G56)/60,2))</f>
        <v>0</v>
      </c>
      <c r="I56" s="40"/>
      <c r="J56" s="41" t="n">
        <f aca="false">IF($A56="",0,YEAR($A56))</f>
        <v>0</v>
      </c>
      <c r="K56" s="36" t="str">
        <f aca="false">IF($A56="","",INDEX(Monate,MONTH($A56)))</f>
        <v/>
      </c>
      <c r="L56" s="41" t="n">
        <f aca="false">IF($A56="",0,WEEKNUM($A56,2))</f>
        <v>0</v>
      </c>
    </row>
    <row r="57" customFormat="false" ht="15" hidden="false" customHeight="false" outlineLevel="0" collapsed="false">
      <c r="A57" s="42"/>
      <c r="B57" s="43"/>
      <c r="C57" s="43"/>
      <c r="D57" s="43"/>
      <c r="E57" s="44"/>
      <c r="F57" s="44"/>
      <c r="G57" s="45"/>
      <c r="H57" s="46" t="n">
        <f aca="false">IF(OR($E57="",$F57=""),0,ROUND(MOD($F57-$E57,1)*24-N($G57)/60,2))</f>
        <v>0</v>
      </c>
      <c r="I57" s="47"/>
      <c r="J57" s="48" t="n">
        <f aca="false">IF($A57="",0,YEAR($A57))</f>
        <v>0</v>
      </c>
      <c r="K57" s="43" t="str">
        <f aca="false">IF($A57="","",INDEX(Monate,MONTH($A57)))</f>
        <v/>
      </c>
      <c r="L57" s="48" t="n">
        <f aca="false">IF($A57="",0,WEEKNUM($A57,2))</f>
        <v>0</v>
      </c>
    </row>
    <row r="58" customFormat="false" ht="15" hidden="false" customHeight="false" outlineLevel="0" collapsed="false">
      <c r="A58" s="35"/>
      <c r="B58" s="36"/>
      <c r="C58" s="36"/>
      <c r="D58" s="36"/>
      <c r="E58" s="37"/>
      <c r="F58" s="37"/>
      <c r="G58" s="38"/>
      <c r="H58" s="39" t="n">
        <f aca="false">IF(OR($E58="",$F58=""),0,ROUND(MOD($F58-$E58,1)*24-N($G58)/60,2))</f>
        <v>0</v>
      </c>
      <c r="I58" s="40"/>
      <c r="J58" s="41" t="n">
        <f aca="false">IF($A58="",0,YEAR($A58))</f>
        <v>0</v>
      </c>
      <c r="K58" s="36" t="str">
        <f aca="false">IF($A58="","",INDEX(Monate,MONTH($A58)))</f>
        <v/>
      </c>
      <c r="L58" s="41" t="n">
        <f aca="false">IF($A58="",0,WEEKNUM($A58,2))</f>
        <v>0</v>
      </c>
    </row>
    <row r="59" customFormat="false" ht="15" hidden="false" customHeight="false" outlineLevel="0" collapsed="false">
      <c r="A59" s="42"/>
      <c r="B59" s="43"/>
      <c r="C59" s="43"/>
      <c r="D59" s="43"/>
      <c r="E59" s="44"/>
      <c r="F59" s="44"/>
      <c r="G59" s="45"/>
      <c r="H59" s="46" t="n">
        <f aca="false">IF(OR($E59="",$F59=""),0,ROUND(MOD($F59-$E59,1)*24-N($G59)/60,2))</f>
        <v>0</v>
      </c>
      <c r="I59" s="47"/>
      <c r="J59" s="48" t="n">
        <f aca="false">IF($A59="",0,YEAR($A59))</f>
        <v>0</v>
      </c>
      <c r="K59" s="43" t="str">
        <f aca="false">IF($A59="","",INDEX(Monate,MONTH($A59)))</f>
        <v/>
      </c>
      <c r="L59" s="48" t="n">
        <f aca="false">IF($A59="",0,WEEKNUM($A59,2))</f>
        <v>0</v>
      </c>
    </row>
    <row r="60" customFormat="false" ht="15" hidden="false" customHeight="false" outlineLevel="0" collapsed="false">
      <c r="A60" s="35"/>
      <c r="B60" s="36"/>
      <c r="C60" s="36"/>
      <c r="D60" s="36"/>
      <c r="E60" s="37"/>
      <c r="F60" s="37"/>
      <c r="G60" s="38"/>
      <c r="H60" s="39" t="n">
        <f aca="false">IF(OR($E60="",$F60=""),0,ROUND(MOD($F60-$E60,1)*24-N($G60)/60,2))</f>
        <v>0</v>
      </c>
      <c r="I60" s="40"/>
      <c r="J60" s="41" t="n">
        <f aca="false">IF($A60="",0,YEAR($A60))</f>
        <v>0</v>
      </c>
      <c r="K60" s="36" t="str">
        <f aca="false">IF($A60="","",INDEX(Monate,MONTH($A60)))</f>
        <v/>
      </c>
      <c r="L60" s="41" t="n">
        <f aca="false">IF($A60="",0,WEEKNUM($A60,2))</f>
        <v>0</v>
      </c>
    </row>
    <row r="61" customFormat="false" ht="15" hidden="false" customHeight="false" outlineLevel="0" collapsed="false">
      <c r="A61" s="42"/>
      <c r="B61" s="43"/>
      <c r="C61" s="43"/>
      <c r="D61" s="43"/>
      <c r="E61" s="44"/>
      <c r="F61" s="44"/>
      <c r="G61" s="45"/>
      <c r="H61" s="46" t="n">
        <f aca="false">IF(OR($E61="",$F61=""),0,ROUND(MOD($F61-$E61,1)*24-N($G61)/60,2))</f>
        <v>0</v>
      </c>
      <c r="I61" s="47"/>
      <c r="J61" s="48" t="n">
        <f aca="false">IF($A61="",0,YEAR($A61))</f>
        <v>0</v>
      </c>
      <c r="K61" s="43" t="str">
        <f aca="false">IF($A61="","",INDEX(Monate,MONTH($A61)))</f>
        <v/>
      </c>
      <c r="L61" s="48" t="n">
        <f aca="false">IF($A61="",0,WEEKNUM($A61,2))</f>
        <v>0</v>
      </c>
    </row>
    <row r="62" customFormat="false" ht="15" hidden="false" customHeight="false" outlineLevel="0" collapsed="false">
      <c r="A62" s="35"/>
      <c r="B62" s="36"/>
      <c r="C62" s="36"/>
      <c r="D62" s="36"/>
      <c r="E62" s="37"/>
      <c r="F62" s="37"/>
      <c r="G62" s="38"/>
      <c r="H62" s="39" t="n">
        <f aca="false">IF(OR($E62="",$F62=""),0,ROUND(MOD($F62-$E62,1)*24-N($G62)/60,2))</f>
        <v>0</v>
      </c>
      <c r="I62" s="40"/>
      <c r="J62" s="41" t="n">
        <f aca="false">IF($A62="",0,YEAR($A62))</f>
        <v>0</v>
      </c>
      <c r="K62" s="36" t="str">
        <f aca="false">IF($A62="","",INDEX(Monate,MONTH($A62)))</f>
        <v/>
      </c>
      <c r="L62" s="41" t="n">
        <f aca="false">IF($A62="",0,WEEKNUM($A62,2))</f>
        <v>0</v>
      </c>
    </row>
    <row r="63" customFormat="false" ht="15" hidden="false" customHeight="false" outlineLevel="0" collapsed="false">
      <c r="A63" s="42"/>
      <c r="B63" s="43"/>
      <c r="C63" s="43"/>
      <c r="D63" s="43"/>
      <c r="E63" s="44"/>
      <c r="F63" s="44"/>
      <c r="G63" s="45"/>
      <c r="H63" s="46" t="n">
        <f aca="false">IF(OR($E63="",$F63=""),0,ROUND(MOD($F63-$E63,1)*24-N($G63)/60,2))</f>
        <v>0</v>
      </c>
      <c r="I63" s="47"/>
      <c r="J63" s="48" t="n">
        <f aca="false">IF($A63="",0,YEAR($A63))</f>
        <v>0</v>
      </c>
      <c r="K63" s="43" t="str">
        <f aca="false">IF($A63="","",INDEX(Monate,MONTH($A63)))</f>
        <v/>
      </c>
      <c r="L63" s="48" t="n">
        <f aca="false">IF($A63="",0,WEEKNUM($A63,2))</f>
        <v>0</v>
      </c>
    </row>
    <row r="64" customFormat="false" ht="15" hidden="false" customHeight="false" outlineLevel="0" collapsed="false">
      <c r="A64" s="35"/>
      <c r="B64" s="36"/>
      <c r="C64" s="36"/>
      <c r="D64" s="36"/>
      <c r="E64" s="37"/>
      <c r="F64" s="37"/>
      <c r="G64" s="38"/>
      <c r="H64" s="39" t="n">
        <f aca="false">IF(OR($E64="",$F64=""),0,ROUND(MOD($F64-$E64,1)*24-N($G64)/60,2))</f>
        <v>0</v>
      </c>
      <c r="I64" s="40"/>
      <c r="J64" s="41" t="n">
        <f aca="false">IF($A64="",0,YEAR($A64))</f>
        <v>0</v>
      </c>
      <c r="K64" s="36" t="str">
        <f aca="false">IF($A64="","",INDEX(Monate,MONTH($A64)))</f>
        <v/>
      </c>
      <c r="L64" s="41" t="n">
        <f aca="false">IF($A64="",0,WEEKNUM($A64,2))</f>
        <v>0</v>
      </c>
    </row>
    <row r="65" customFormat="false" ht="15" hidden="false" customHeight="false" outlineLevel="0" collapsed="false">
      <c r="A65" s="42"/>
      <c r="B65" s="43"/>
      <c r="C65" s="43"/>
      <c r="D65" s="43"/>
      <c r="E65" s="44"/>
      <c r="F65" s="44"/>
      <c r="G65" s="45"/>
      <c r="H65" s="46" t="n">
        <f aca="false">IF(OR($E65="",$F65=""),0,ROUND(MOD($F65-$E65,1)*24-N($G65)/60,2))</f>
        <v>0</v>
      </c>
      <c r="I65" s="47"/>
      <c r="J65" s="48" t="n">
        <f aca="false">IF($A65="",0,YEAR($A65))</f>
        <v>0</v>
      </c>
      <c r="K65" s="43" t="str">
        <f aca="false">IF($A65="","",INDEX(Monate,MONTH($A65)))</f>
        <v/>
      </c>
      <c r="L65" s="48" t="n">
        <f aca="false">IF($A65="",0,WEEKNUM($A65,2))</f>
        <v>0</v>
      </c>
    </row>
    <row r="66" customFormat="false" ht="15" hidden="false" customHeight="false" outlineLevel="0" collapsed="false">
      <c r="A66" s="35"/>
      <c r="B66" s="36"/>
      <c r="C66" s="36"/>
      <c r="D66" s="36"/>
      <c r="E66" s="37"/>
      <c r="F66" s="37"/>
      <c r="G66" s="38"/>
      <c r="H66" s="39" t="n">
        <f aca="false">IF(OR($E66="",$F66=""),0,ROUND(MOD($F66-$E66,1)*24-N($G66)/60,2))</f>
        <v>0</v>
      </c>
      <c r="I66" s="40"/>
      <c r="J66" s="41" t="n">
        <f aca="false">IF($A66="",0,YEAR($A66))</f>
        <v>0</v>
      </c>
      <c r="K66" s="36" t="str">
        <f aca="false">IF($A66="","",INDEX(Monate,MONTH($A66)))</f>
        <v/>
      </c>
      <c r="L66" s="41" t="n">
        <f aca="false">IF($A66="",0,WEEKNUM($A66,2))</f>
        <v>0</v>
      </c>
    </row>
    <row r="67" customFormat="false" ht="15" hidden="false" customHeight="false" outlineLevel="0" collapsed="false">
      <c r="A67" s="42"/>
      <c r="B67" s="43"/>
      <c r="C67" s="43"/>
      <c r="D67" s="43"/>
      <c r="E67" s="44"/>
      <c r="F67" s="44"/>
      <c r="G67" s="45"/>
      <c r="H67" s="46" t="n">
        <f aca="false">IF(OR($E67="",$F67=""),0,ROUND(MOD($F67-$E67,1)*24-N($G67)/60,2))</f>
        <v>0</v>
      </c>
      <c r="I67" s="47"/>
      <c r="J67" s="48" t="n">
        <f aca="false">IF($A67="",0,YEAR($A67))</f>
        <v>0</v>
      </c>
      <c r="K67" s="43" t="str">
        <f aca="false">IF($A67="","",INDEX(Monate,MONTH($A67)))</f>
        <v/>
      </c>
      <c r="L67" s="48" t="n">
        <f aca="false">IF($A67="",0,WEEKNUM($A67,2))</f>
        <v>0</v>
      </c>
    </row>
    <row r="68" customFormat="false" ht="15" hidden="false" customHeight="false" outlineLevel="0" collapsed="false">
      <c r="A68" s="35"/>
      <c r="B68" s="36"/>
      <c r="C68" s="36"/>
      <c r="D68" s="36"/>
      <c r="E68" s="37"/>
      <c r="F68" s="37"/>
      <c r="G68" s="38"/>
      <c r="H68" s="39" t="n">
        <f aca="false">IF(OR($E68="",$F68=""),0,ROUND(MOD($F68-$E68,1)*24-N($G68)/60,2))</f>
        <v>0</v>
      </c>
      <c r="I68" s="40"/>
      <c r="J68" s="41" t="n">
        <f aca="false">IF($A68="",0,YEAR($A68))</f>
        <v>0</v>
      </c>
      <c r="K68" s="36" t="str">
        <f aca="false">IF($A68="","",INDEX(Monate,MONTH($A68)))</f>
        <v/>
      </c>
      <c r="L68" s="41" t="n">
        <f aca="false">IF($A68="",0,WEEKNUM($A68,2))</f>
        <v>0</v>
      </c>
    </row>
    <row r="69" customFormat="false" ht="15" hidden="false" customHeight="false" outlineLevel="0" collapsed="false">
      <c r="A69" s="42"/>
      <c r="B69" s="43"/>
      <c r="C69" s="43"/>
      <c r="D69" s="43"/>
      <c r="E69" s="44"/>
      <c r="F69" s="44"/>
      <c r="G69" s="45"/>
      <c r="H69" s="46" t="n">
        <f aca="false">IF(OR($E69="",$F69=""),0,ROUND(MOD($F69-$E69,1)*24-N($G69)/60,2))</f>
        <v>0</v>
      </c>
      <c r="I69" s="47"/>
      <c r="J69" s="48" t="n">
        <f aca="false">IF($A69="",0,YEAR($A69))</f>
        <v>0</v>
      </c>
      <c r="K69" s="43" t="str">
        <f aca="false">IF($A69="","",INDEX(Monate,MONTH($A69)))</f>
        <v/>
      </c>
      <c r="L69" s="48" t="n">
        <f aca="false">IF($A69="",0,WEEKNUM($A69,2))</f>
        <v>0</v>
      </c>
    </row>
    <row r="70" customFormat="false" ht="15" hidden="false" customHeight="false" outlineLevel="0" collapsed="false">
      <c r="A70" s="35"/>
      <c r="B70" s="36"/>
      <c r="C70" s="36"/>
      <c r="D70" s="36"/>
      <c r="E70" s="37"/>
      <c r="F70" s="37"/>
      <c r="G70" s="38"/>
      <c r="H70" s="39" t="n">
        <f aca="false">IF(OR($E70="",$F70=""),0,ROUND(MOD($F70-$E70,1)*24-N($G70)/60,2))</f>
        <v>0</v>
      </c>
      <c r="I70" s="40"/>
      <c r="J70" s="41" t="n">
        <f aca="false">IF($A70="",0,YEAR($A70))</f>
        <v>0</v>
      </c>
      <c r="K70" s="36" t="str">
        <f aca="false">IF($A70="","",INDEX(Monate,MONTH($A70)))</f>
        <v/>
      </c>
      <c r="L70" s="41" t="n">
        <f aca="false">IF($A70="",0,WEEKNUM($A70,2))</f>
        <v>0</v>
      </c>
    </row>
    <row r="71" customFormat="false" ht="15" hidden="false" customHeight="false" outlineLevel="0" collapsed="false">
      <c r="A71" s="42"/>
      <c r="B71" s="43"/>
      <c r="C71" s="43"/>
      <c r="D71" s="43"/>
      <c r="E71" s="44"/>
      <c r="F71" s="44"/>
      <c r="G71" s="45"/>
      <c r="H71" s="46" t="n">
        <f aca="false">IF(OR($E71="",$F71=""),0,ROUND(MOD($F71-$E71,1)*24-N($G71)/60,2))</f>
        <v>0</v>
      </c>
      <c r="I71" s="47"/>
      <c r="J71" s="48" t="n">
        <f aca="false">IF($A71="",0,YEAR($A71))</f>
        <v>0</v>
      </c>
      <c r="K71" s="43" t="str">
        <f aca="false">IF($A71="","",INDEX(Monate,MONTH($A71)))</f>
        <v/>
      </c>
      <c r="L71" s="48" t="n">
        <f aca="false">IF($A71="",0,WEEKNUM($A71,2))</f>
        <v>0</v>
      </c>
    </row>
    <row r="72" customFormat="false" ht="15" hidden="false" customHeight="false" outlineLevel="0" collapsed="false">
      <c r="A72" s="35"/>
      <c r="B72" s="36"/>
      <c r="C72" s="36"/>
      <c r="D72" s="36"/>
      <c r="E72" s="37"/>
      <c r="F72" s="37"/>
      <c r="G72" s="38"/>
      <c r="H72" s="39" t="n">
        <f aca="false">IF(OR($E72="",$F72=""),0,ROUND(MOD($F72-$E72,1)*24-N($G72)/60,2))</f>
        <v>0</v>
      </c>
      <c r="I72" s="40"/>
      <c r="J72" s="41" t="n">
        <f aca="false">IF($A72="",0,YEAR($A72))</f>
        <v>0</v>
      </c>
      <c r="K72" s="36" t="str">
        <f aca="false">IF($A72="","",INDEX(Monate,MONTH($A72)))</f>
        <v/>
      </c>
      <c r="L72" s="41" t="n">
        <f aca="false">IF($A72="",0,WEEKNUM($A72,2))</f>
        <v>0</v>
      </c>
    </row>
    <row r="73" customFormat="false" ht="15" hidden="false" customHeight="false" outlineLevel="0" collapsed="false">
      <c r="A73" s="42"/>
      <c r="B73" s="43"/>
      <c r="C73" s="43"/>
      <c r="D73" s="43"/>
      <c r="E73" s="44"/>
      <c r="F73" s="44"/>
      <c r="G73" s="45"/>
      <c r="H73" s="46" t="n">
        <f aca="false">IF(OR($E73="",$F73=""),0,ROUND(MOD($F73-$E73,1)*24-N($G73)/60,2))</f>
        <v>0</v>
      </c>
      <c r="I73" s="47"/>
      <c r="J73" s="48" t="n">
        <f aca="false">IF($A73="",0,YEAR($A73))</f>
        <v>0</v>
      </c>
      <c r="K73" s="43" t="str">
        <f aca="false">IF($A73="","",INDEX(Monate,MONTH($A73)))</f>
        <v/>
      </c>
      <c r="L73" s="48" t="n">
        <f aca="false">IF($A73="",0,WEEKNUM($A73,2))</f>
        <v>0</v>
      </c>
    </row>
    <row r="74" customFormat="false" ht="15" hidden="false" customHeight="false" outlineLevel="0" collapsed="false">
      <c r="A74" s="35"/>
      <c r="B74" s="36"/>
      <c r="C74" s="36"/>
      <c r="D74" s="36"/>
      <c r="E74" s="37"/>
      <c r="F74" s="37"/>
      <c r="G74" s="38"/>
      <c r="H74" s="39" t="n">
        <f aca="false">IF(OR($E74="",$F74=""),0,ROUND(MOD($F74-$E74,1)*24-N($G74)/60,2))</f>
        <v>0</v>
      </c>
      <c r="I74" s="40"/>
      <c r="J74" s="41" t="n">
        <f aca="false">IF($A74="",0,YEAR($A74))</f>
        <v>0</v>
      </c>
      <c r="K74" s="36" t="str">
        <f aca="false">IF($A74="","",INDEX(Monate,MONTH($A74)))</f>
        <v/>
      </c>
      <c r="L74" s="41" t="n">
        <f aca="false">IF($A74="",0,WEEKNUM($A74,2))</f>
        <v>0</v>
      </c>
    </row>
    <row r="75" customFormat="false" ht="15" hidden="false" customHeight="false" outlineLevel="0" collapsed="false">
      <c r="A75" s="42"/>
      <c r="B75" s="43"/>
      <c r="C75" s="43"/>
      <c r="D75" s="43"/>
      <c r="E75" s="44"/>
      <c r="F75" s="44"/>
      <c r="G75" s="45"/>
      <c r="H75" s="46" t="n">
        <f aca="false">IF(OR($E75="",$F75=""),0,ROUND(MOD($F75-$E75,1)*24-N($G75)/60,2))</f>
        <v>0</v>
      </c>
      <c r="I75" s="47"/>
      <c r="J75" s="48" t="n">
        <f aca="false">IF($A75="",0,YEAR($A75))</f>
        <v>0</v>
      </c>
      <c r="K75" s="43" t="str">
        <f aca="false">IF($A75="","",INDEX(Monate,MONTH($A75)))</f>
        <v/>
      </c>
      <c r="L75" s="48" t="n">
        <f aca="false">IF($A75="",0,WEEKNUM($A75,2))</f>
        <v>0</v>
      </c>
    </row>
    <row r="76" customFormat="false" ht="15" hidden="false" customHeight="false" outlineLevel="0" collapsed="false">
      <c r="A76" s="35"/>
      <c r="B76" s="36"/>
      <c r="C76" s="36"/>
      <c r="D76" s="36"/>
      <c r="E76" s="37"/>
      <c r="F76" s="37"/>
      <c r="G76" s="38"/>
      <c r="H76" s="39" t="n">
        <f aca="false">IF(OR($E76="",$F76=""),0,ROUND(MOD($F76-$E76,1)*24-N($G76)/60,2))</f>
        <v>0</v>
      </c>
      <c r="I76" s="40"/>
      <c r="J76" s="41" t="n">
        <f aca="false">IF($A76="",0,YEAR($A76))</f>
        <v>0</v>
      </c>
      <c r="K76" s="36" t="str">
        <f aca="false">IF($A76="","",INDEX(Monate,MONTH($A76)))</f>
        <v/>
      </c>
      <c r="L76" s="41" t="n">
        <f aca="false">IF($A76="",0,WEEKNUM($A76,2))</f>
        <v>0</v>
      </c>
    </row>
    <row r="77" customFormat="false" ht="15" hidden="false" customHeight="false" outlineLevel="0" collapsed="false">
      <c r="A77" s="42"/>
      <c r="B77" s="43"/>
      <c r="C77" s="43"/>
      <c r="D77" s="43"/>
      <c r="E77" s="44"/>
      <c r="F77" s="44"/>
      <c r="G77" s="45"/>
      <c r="H77" s="46" t="n">
        <f aca="false">IF(OR($E77="",$F77=""),0,ROUND(MOD($F77-$E77,1)*24-N($G77)/60,2))</f>
        <v>0</v>
      </c>
      <c r="I77" s="47"/>
      <c r="J77" s="48" t="n">
        <f aca="false">IF($A77="",0,YEAR($A77))</f>
        <v>0</v>
      </c>
      <c r="K77" s="43" t="str">
        <f aca="false">IF($A77="","",INDEX(Monate,MONTH($A77)))</f>
        <v/>
      </c>
      <c r="L77" s="48" t="n">
        <f aca="false">IF($A77="",0,WEEKNUM($A77,2))</f>
        <v>0</v>
      </c>
    </row>
    <row r="78" customFormat="false" ht="15" hidden="false" customHeight="false" outlineLevel="0" collapsed="false">
      <c r="A78" s="35"/>
      <c r="B78" s="36"/>
      <c r="C78" s="36"/>
      <c r="D78" s="36"/>
      <c r="E78" s="37"/>
      <c r="F78" s="37"/>
      <c r="G78" s="38"/>
      <c r="H78" s="39" t="n">
        <f aca="false">IF(OR($E78="",$F78=""),0,ROUND(MOD($F78-$E78,1)*24-N($G78)/60,2))</f>
        <v>0</v>
      </c>
      <c r="I78" s="40"/>
      <c r="J78" s="41" t="n">
        <f aca="false">IF($A78="",0,YEAR($A78))</f>
        <v>0</v>
      </c>
      <c r="K78" s="36" t="str">
        <f aca="false">IF($A78="","",INDEX(Monate,MONTH($A78)))</f>
        <v/>
      </c>
      <c r="L78" s="41" t="n">
        <f aca="false">IF($A78="",0,WEEKNUM($A78,2))</f>
        <v>0</v>
      </c>
    </row>
    <row r="79" customFormat="false" ht="15" hidden="false" customHeight="false" outlineLevel="0" collapsed="false">
      <c r="A79" s="42"/>
      <c r="B79" s="43"/>
      <c r="C79" s="43"/>
      <c r="D79" s="43"/>
      <c r="E79" s="44"/>
      <c r="F79" s="44"/>
      <c r="G79" s="45"/>
      <c r="H79" s="46" t="n">
        <f aca="false">IF(OR($E79="",$F79=""),0,ROUND(MOD($F79-$E79,1)*24-N($G79)/60,2))</f>
        <v>0</v>
      </c>
      <c r="I79" s="47"/>
      <c r="J79" s="48" t="n">
        <f aca="false">IF($A79="",0,YEAR($A79))</f>
        <v>0</v>
      </c>
      <c r="K79" s="43" t="str">
        <f aca="false">IF($A79="","",INDEX(Monate,MONTH($A79)))</f>
        <v/>
      </c>
      <c r="L79" s="48" t="n">
        <f aca="false">IF($A79="",0,WEEKNUM($A79,2))</f>
        <v>0</v>
      </c>
    </row>
    <row r="80" customFormat="false" ht="15" hidden="false" customHeight="false" outlineLevel="0" collapsed="false">
      <c r="A80" s="35"/>
      <c r="B80" s="36"/>
      <c r="C80" s="36"/>
      <c r="D80" s="36"/>
      <c r="E80" s="37"/>
      <c r="F80" s="37"/>
      <c r="G80" s="38"/>
      <c r="H80" s="39" t="n">
        <f aca="false">IF(OR($E80="",$F80=""),0,ROUND(MOD($F80-$E80,1)*24-N($G80)/60,2))</f>
        <v>0</v>
      </c>
      <c r="I80" s="40"/>
      <c r="J80" s="41" t="n">
        <f aca="false">IF($A80="",0,YEAR($A80))</f>
        <v>0</v>
      </c>
      <c r="K80" s="36" t="str">
        <f aca="false">IF($A80="","",INDEX(Monate,MONTH($A80)))</f>
        <v/>
      </c>
      <c r="L80" s="41" t="n">
        <f aca="false">IF($A80="",0,WEEKNUM($A80,2))</f>
        <v>0</v>
      </c>
    </row>
    <row r="81" customFormat="false" ht="15" hidden="false" customHeight="false" outlineLevel="0" collapsed="false">
      <c r="A81" s="42"/>
      <c r="B81" s="43"/>
      <c r="C81" s="43"/>
      <c r="D81" s="43"/>
      <c r="E81" s="44"/>
      <c r="F81" s="44"/>
      <c r="G81" s="45"/>
      <c r="H81" s="46" t="n">
        <f aca="false">IF(OR($E81="",$F81=""),0,ROUND(MOD($F81-$E81,1)*24-N($G81)/60,2))</f>
        <v>0</v>
      </c>
      <c r="I81" s="47"/>
      <c r="J81" s="48" t="n">
        <f aca="false">IF($A81="",0,YEAR($A81))</f>
        <v>0</v>
      </c>
      <c r="K81" s="43" t="str">
        <f aca="false">IF($A81="","",INDEX(Monate,MONTH($A81)))</f>
        <v/>
      </c>
      <c r="L81" s="48" t="n">
        <f aca="false">IF($A81="",0,WEEKNUM($A81,2))</f>
        <v>0</v>
      </c>
    </row>
    <row r="82" customFormat="false" ht="15" hidden="false" customHeight="false" outlineLevel="0" collapsed="false">
      <c r="A82" s="35"/>
      <c r="B82" s="36"/>
      <c r="C82" s="36"/>
      <c r="D82" s="36"/>
      <c r="E82" s="37"/>
      <c r="F82" s="37"/>
      <c r="G82" s="38"/>
      <c r="H82" s="39" t="n">
        <f aca="false">IF(OR($E82="",$F82=""),0,ROUND(MOD($F82-$E82,1)*24-N($G82)/60,2))</f>
        <v>0</v>
      </c>
      <c r="I82" s="40"/>
      <c r="J82" s="41" t="n">
        <f aca="false">IF($A82="",0,YEAR($A82))</f>
        <v>0</v>
      </c>
      <c r="K82" s="36" t="str">
        <f aca="false">IF($A82="","",INDEX(Monate,MONTH($A82)))</f>
        <v/>
      </c>
      <c r="L82" s="41" t="n">
        <f aca="false">IF($A82="",0,WEEKNUM($A82,2))</f>
        <v>0</v>
      </c>
    </row>
    <row r="83" customFormat="false" ht="15" hidden="false" customHeight="false" outlineLevel="0" collapsed="false">
      <c r="A83" s="42"/>
      <c r="B83" s="43"/>
      <c r="C83" s="43"/>
      <c r="D83" s="43"/>
      <c r="E83" s="44"/>
      <c r="F83" s="44"/>
      <c r="G83" s="45"/>
      <c r="H83" s="46" t="n">
        <f aca="false">IF(OR($E83="",$F83=""),0,ROUND(MOD($F83-$E83,1)*24-N($G83)/60,2))</f>
        <v>0</v>
      </c>
      <c r="I83" s="47"/>
      <c r="J83" s="48" t="n">
        <f aca="false">IF($A83="",0,YEAR($A83))</f>
        <v>0</v>
      </c>
      <c r="K83" s="43" t="str">
        <f aca="false">IF($A83="","",INDEX(Monate,MONTH($A83)))</f>
        <v/>
      </c>
      <c r="L83" s="48" t="n">
        <f aca="false">IF($A83="",0,WEEKNUM($A83,2))</f>
        <v>0</v>
      </c>
    </row>
    <row r="84" customFormat="false" ht="15" hidden="false" customHeight="false" outlineLevel="0" collapsed="false">
      <c r="A84" s="35"/>
      <c r="B84" s="36"/>
      <c r="C84" s="36"/>
      <c r="D84" s="36"/>
      <c r="E84" s="37"/>
      <c r="F84" s="37"/>
      <c r="G84" s="38"/>
      <c r="H84" s="39" t="n">
        <f aca="false">IF(OR($E84="",$F84=""),0,ROUND(MOD($F84-$E84,1)*24-N($G84)/60,2))</f>
        <v>0</v>
      </c>
      <c r="I84" s="40"/>
      <c r="J84" s="41" t="n">
        <f aca="false">IF($A84="",0,YEAR($A84))</f>
        <v>0</v>
      </c>
      <c r="K84" s="36" t="str">
        <f aca="false">IF($A84="","",INDEX(Monate,MONTH($A84)))</f>
        <v/>
      </c>
      <c r="L84" s="41" t="n">
        <f aca="false">IF($A84="",0,WEEKNUM($A84,2))</f>
        <v>0</v>
      </c>
    </row>
    <row r="85" customFormat="false" ht="15" hidden="false" customHeight="false" outlineLevel="0" collapsed="false">
      <c r="A85" s="42"/>
      <c r="B85" s="43"/>
      <c r="C85" s="43"/>
      <c r="D85" s="43"/>
      <c r="E85" s="44"/>
      <c r="F85" s="44"/>
      <c r="G85" s="45"/>
      <c r="H85" s="46" t="n">
        <f aca="false">IF(OR($E85="",$F85=""),0,ROUND(MOD($F85-$E85,1)*24-N($G85)/60,2))</f>
        <v>0</v>
      </c>
      <c r="I85" s="47"/>
      <c r="J85" s="48" t="n">
        <f aca="false">IF($A85="",0,YEAR($A85))</f>
        <v>0</v>
      </c>
      <c r="K85" s="43" t="str">
        <f aca="false">IF($A85="","",INDEX(Monate,MONTH($A85)))</f>
        <v/>
      </c>
      <c r="L85" s="48" t="n">
        <f aca="false">IF($A85="",0,WEEKNUM($A85,2))</f>
        <v>0</v>
      </c>
    </row>
    <row r="86" customFormat="false" ht="15" hidden="false" customHeight="false" outlineLevel="0" collapsed="false">
      <c r="A86" s="35"/>
      <c r="B86" s="36"/>
      <c r="C86" s="36"/>
      <c r="D86" s="36"/>
      <c r="E86" s="37"/>
      <c r="F86" s="37"/>
      <c r="G86" s="38"/>
      <c r="H86" s="39" t="n">
        <f aca="false">IF(OR($E86="",$F86=""),0,ROUND(MOD($F86-$E86,1)*24-N($G86)/60,2))</f>
        <v>0</v>
      </c>
      <c r="I86" s="40"/>
      <c r="J86" s="41" t="n">
        <f aca="false">IF($A86="",0,YEAR($A86))</f>
        <v>0</v>
      </c>
      <c r="K86" s="36" t="str">
        <f aca="false">IF($A86="","",INDEX(Monate,MONTH($A86)))</f>
        <v/>
      </c>
      <c r="L86" s="41" t="n">
        <f aca="false">IF($A86="",0,WEEKNUM($A86,2))</f>
        <v>0</v>
      </c>
    </row>
    <row r="87" customFormat="false" ht="15" hidden="false" customHeight="false" outlineLevel="0" collapsed="false">
      <c r="A87" s="42"/>
      <c r="B87" s="43"/>
      <c r="C87" s="43"/>
      <c r="D87" s="43"/>
      <c r="E87" s="44"/>
      <c r="F87" s="44"/>
      <c r="G87" s="45"/>
      <c r="H87" s="46" t="n">
        <f aca="false">IF(OR($E87="",$F87=""),0,ROUND(MOD($F87-$E87,1)*24-N($G87)/60,2))</f>
        <v>0</v>
      </c>
      <c r="I87" s="47"/>
      <c r="J87" s="48" t="n">
        <f aca="false">IF($A87="",0,YEAR($A87))</f>
        <v>0</v>
      </c>
      <c r="K87" s="43" t="str">
        <f aca="false">IF($A87="","",INDEX(Monate,MONTH($A87)))</f>
        <v/>
      </c>
      <c r="L87" s="48" t="n">
        <f aca="false">IF($A87="",0,WEEKNUM($A87,2))</f>
        <v>0</v>
      </c>
    </row>
    <row r="88" customFormat="false" ht="15" hidden="false" customHeight="false" outlineLevel="0" collapsed="false">
      <c r="A88" s="35"/>
      <c r="B88" s="36"/>
      <c r="C88" s="36"/>
      <c r="D88" s="36"/>
      <c r="E88" s="37"/>
      <c r="F88" s="37"/>
      <c r="G88" s="38"/>
      <c r="H88" s="39" t="n">
        <f aca="false">IF(OR($E88="",$F88=""),0,ROUND(MOD($F88-$E88,1)*24-N($G88)/60,2))</f>
        <v>0</v>
      </c>
      <c r="I88" s="40"/>
      <c r="J88" s="41" t="n">
        <f aca="false">IF($A88="",0,YEAR($A88))</f>
        <v>0</v>
      </c>
      <c r="K88" s="36" t="str">
        <f aca="false">IF($A88="","",INDEX(Monate,MONTH($A88)))</f>
        <v/>
      </c>
      <c r="L88" s="41" t="n">
        <f aca="false">IF($A88="",0,WEEKNUM($A88,2))</f>
        <v>0</v>
      </c>
    </row>
    <row r="89" customFormat="false" ht="15" hidden="false" customHeight="false" outlineLevel="0" collapsed="false">
      <c r="A89" s="42"/>
      <c r="B89" s="43"/>
      <c r="C89" s="43"/>
      <c r="D89" s="43"/>
      <c r="E89" s="44"/>
      <c r="F89" s="44"/>
      <c r="G89" s="45"/>
      <c r="H89" s="46" t="n">
        <f aca="false">IF(OR($E89="",$F89=""),0,ROUND(MOD($F89-$E89,1)*24-N($G89)/60,2))</f>
        <v>0</v>
      </c>
      <c r="I89" s="47"/>
      <c r="J89" s="48" t="n">
        <f aca="false">IF($A89="",0,YEAR($A89))</f>
        <v>0</v>
      </c>
      <c r="K89" s="43" t="str">
        <f aca="false">IF($A89="","",INDEX(Monate,MONTH($A89)))</f>
        <v/>
      </c>
      <c r="L89" s="48" t="n">
        <f aca="false">IF($A89="",0,WEEKNUM($A89,2))</f>
        <v>0</v>
      </c>
    </row>
    <row r="90" customFormat="false" ht="15" hidden="false" customHeight="false" outlineLevel="0" collapsed="false">
      <c r="A90" s="35"/>
      <c r="B90" s="36"/>
      <c r="C90" s="36"/>
      <c r="D90" s="36"/>
      <c r="E90" s="37"/>
      <c r="F90" s="37"/>
      <c r="G90" s="38"/>
      <c r="H90" s="39" t="n">
        <f aca="false">IF(OR($E90="",$F90=""),0,ROUND(MOD($F90-$E90,1)*24-N($G90)/60,2))</f>
        <v>0</v>
      </c>
      <c r="I90" s="40"/>
      <c r="J90" s="41" t="n">
        <f aca="false">IF($A90="",0,YEAR($A90))</f>
        <v>0</v>
      </c>
      <c r="K90" s="36" t="str">
        <f aca="false">IF($A90="","",INDEX(Monate,MONTH($A90)))</f>
        <v/>
      </c>
      <c r="L90" s="41" t="n">
        <f aca="false">IF($A90="",0,WEEKNUM($A90,2))</f>
        <v>0</v>
      </c>
    </row>
    <row r="91" customFormat="false" ht="15" hidden="false" customHeight="false" outlineLevel="0" collapsed="false">
      <c r="A91" s="42"/>
      <c r="B91" s="43"/>
      <c r="C91" s="43"/>
      <c r="D91" s="43"/>
      <c r="E91" s="44"/>
      <c r="F91" s="44"/>
      <c r="G91" s="45"/>
      <c r="H91" s="46" t="n">
        <f aca="false">IF(OR($E91="",$F91=""),0,ROUND(MOD($F91-$E91,1)*24-N($G91)/60,2))</f>
        <v>0</v>
      </c>
      <c r="I91" s="47"/>
      <c r="J91" s="48" t="n">
        <f aca="false">IF($A91="",0,YEAR($A91))</f>
        <v>0</v>
      </c>
      <c r="K91" s="43" t="str">
        <f aca="false">IF($A91="","",INDEX(Monate,MONTH($A91)))</f>
        <v/>
      </c>
      <c r="L91" s="48" t="n">
        <f aca="false">IF($A91="",0,WEEKNUM($A91,2))</f>
        <v>0</v>
      </c>
    </row>
    <row r="92" customFormat="false" ht="15" hidden="false" customHeight="false" outlineLevel="0" collapsed="false">
      <c r="A92" s="35"/>
      <c r="B92" s="36"/>
      <c r="C92" s="36"/>
      <c r="D92" s="36"/>
      <c r="E92" s="37"/>
      <c r="F92" s="37"/>
      <c r="G92" s="38"/>
      <c r="H92" s="39" t="n">
        <f aca="false">IF(OR($E92="",$F92=""),0,ROUND(MOD($F92-$E92,1)*24-N($G92)/60,2))</f>
        <v>0</v>
      </c>
      <c r="I92" s="40"/>
      <c r="J92" s="41" t="n">
        <f aca="false">IF($A92="",0,YEAR($A92))</f>
        <v>0</v>
      </c>
      <c r="K92" s="36" t="str">
        <f aca="false">IF($A92="","",INDEX(Monate,MONTH($A92)))</f>
        <v/>
      </c>
      <c r="L92" s="41" t="n">
        <f aca="false">IF($A92="",0,WEEKNUM($A92,2))</f>
        <v>0</v>
      </c>
    </row>
    <row r="93" customFormat="false" ht="15" hidden="false" customHeight="false" outlineLevel="0" collapsed="false">
      <c r="A93" s="42"/>
      <c r="B93" s="43"/>
      <c r="C93" s="43"/>
      <c r="D93" s="43"/>
      <c r="E93" s="44"/>
      <c r="F93" s="44"/>
      <c r="G93" s="45"/>
      <c r="H93" s="46" t="n">
        <f aca="false">IF(OR($E93="",$F93=""),0,ROUND(MOD($F93-$E93,1)*24-N($G93)/60,2))</f>
        <v>0</v>
      </c>
      <c r="I93" s="47"/>
      <c r="J93" s="48" t="n">
        <f aca="false">IF($A93="",0,YEAR($A93))</f>
        <v>0</v>
      </c>
      <c r="K93" s="43" t="str">
        <f aca="false">IF($A93="","",INDEX(Monate,MONTH($A93)))</f>
        <v/>
      </c>
      <c r="L93" s="48" t="n">
        <f aca="false">IF($A93="",0,WEEKNUM($A93,2))</f>
        <v>0</v>
      </c>
    </row>
    <row r="94" customFormat="false" ht="15" hidden="false" customHeight="false" outlineLevel="0" collapsed="false">
      <c r="A94" s="35"/>
      <c r="B94" s="36"/>
      <c r="C94" s="36"/>
      <c r="D94" s="36"/>
      <c r="E94" s="37"/>
      <c r="F94" s="37"/>
      <c r="G94" s="38"/>
      <c r="H94" s="39" t="n">
        <f aca="false">IF(OR($E94="",$F94=""),0,ROUND(MOD($F94-$E94,1)*24-N($G94)/60,2))</f>
        <v>0</v>
      </c>
      <c r="I94" s="40"/>
      <c r="J94" s="41" t="n">
        <f aca="false">IF($A94="",0,YEAR($A94))</f>
        <v>0</v>
      </c>
      <c r="K94" s="36" t="str">
        <f aca="false">IF($A94="","",INDEX(Monate,MONTH($A94)))</f>
        <v/>
      </c>
      <c r="L94" s="41" t="n">
        <f aca="false">IF($A94="",0,WEEKNUM($A94,2))</f>
        <v>0</v>
      </c>
    </row>
    <row r="95" customFormat="false" ht="15" hidden="false" customHeight="false" outlineLevel="0" collapsed="false">
      <c r="A95" s="42"/>
      <c r="B95" s="43"/>
      <c r="C95" s="43"/>
      <c r="D95" s="43"/>
      <c r="E95" s="44"/>
      <c r="F95" s="44"/>
      <c r="G95" s="45"/>
      <c r="H95" s="46" t="n">
        <f aca="false">IF(OR($E95="",$F95=""),0,ROUND(MOD($F95-$E95,1)*24-N($G95)/60,2))</f>
        <v>0</v>
      </c>
      <c r="I95" s="47"/>
      <c r="J95" s="48" t="n">
        <f aca="false">IF($A95="",0,YEAR($A95))</f>
        <v>0</v>
      </c>
      <c r="K95" s="43" t="str">
        <f aca="false">IF($A95="","",INDEX(Monate,MONTH($A95)))</f>
        <v/>
      </c>
      <c r="L95" s="48" t="n">
        <f aca="false">IF($A95="",0,WEEKNUM($A95,2))</f>
        <v>0</v>
      </c>
    </row>
    <row r="96" customFormat="false" ht="15" hidden="false" customHeight="false" outlineLevel="0" collapsed="false">
      <c r="A96" s="35"/>
      <c r="B96" s="36"/>
      <c r="C96" s="36"/>
      <c r="D96" s="36"/>
      <c r="E96" s="37"/>
      <c r="F96" s="37"/>
      <c r="G96" s="38"/>
      <c r="H96" s="39" t="n">
        <f aca="false">IF(OR($E96="",$F96=""),0,ROUND(MOD($F96-$E96,1)*24-N($G96)/60,2))</f>
        <v>0</v>
      </c>
      <c r="I96" s="40"/>
      <c r="J96" s="41" t="n">
        <f aca="false">IF($A96="",0,YEAR($A96))</f>
        <v>0</v>
      </c>
      <c r="K96" s="36" t="str">
        <f aca="false">IF($A96="","",INDEX(Monate,MONTH($A96)))</f>
        <v/>
      </c>
      <c r="L96" s="41" t="n">
        <f aca="false">IF($A96="",0,WEEKNUM($A96,2))</f>
        <v>0</v>
      </c>
    </row>
    <row r="97" customFormat="false" ht="15" hidden="false" customHeight="false" outlineLevel="0" collapsed="false">
      <c r="A97" s="42"/>
      <c r="B97" s="43"/>
      <c r="C97" s="43"/>
      <c r="D97" s="43"/>
      <c r="E97" s="44"/>
      <c r="F97" s="44"/>
      <c r="G97" s="45"/>
      <c r="H97" s="46" t="n">
        <f aca="false">IF(OR($E97="",$F97=""),0,ROUND(MOD($F97-$E97,1)*24-N($G97)/60,2))</f>
        <v>0</v>
      </c>
      <c r="I97" s="47"/>
      <c r="J97" s="48" t="n">
        <f aca="false">IF($A97="",0,YEAR($A97))</f>
        <v>0</v>
      </c>
      <c r="K97" s="43" t="str">
        <f aca="false">IF($A97="","",INDEX(Monate,MONTH($A97)))</f>
        <v/>
      </c>
      <c r="L97" s="48" t="n">
        <f aca="false">IF($A97="",0,WEEKNUM($A97,2))</f>
        <v>0</v>
      </c>
    </row>
    <row r="98" customFormat="false" ht="15" hidden="false" customHeight="false" outlineLevel="0" collapsed="false">
      <c r="A98" s="35"/>
      <c r="B98" s="36"/>
      <c r="C98" s="36"/>
      <c r="D98" s="36"/>
      <c r="E98" s="37"/>
      <c r="F98" s="37"/>
      <c r="G98" s="38"/>
      <c r="H98" s="39" t="n">
        <f aca="false">IF(OR($E98="",$F98=""),0,ROUND(MOD($F98-$E98,1)*24-N($G98)/60,2))</f>
        <v>0</v>
      </c>
      <c r="I98" s="40"/>
      <c r="J98" s="41" t="n">
        <f aca="false">IF($A98="",0,YEAR($A98))</f>
        <v>0</v>
      </c>
      <c r="K98" s="36" t="str">
        <f aca="false">IF($A98="","",INDEX(Monate,MONTH($A98)))</f>
        <v/>
      </c>
      <c r="L98" s="41" t="n">
        <f aca="false">IF($A98="",0,WEEKNUM($A98,2))</f>
        <v>0</v>
      </c>
    </row>
    <row r="99" customFormat="false" ht="15" hidden="false" customHeight="false" outlineLevel="0" collapsed="false">
      <c r="A99" s="42"/>
      <c r="B99" s="43"/>
      <c r="C99" s="43"/>
      <c r="D99" s="43"/>
      <c r="E99" s="44"/>
      <c r="F99" s="44"/>
      <c r="G99" s="45"/>
      <c r="H99" s="46" t="n">
        <f aca="false">IF(OR($E99="",$F99=""),0,ROUND(MOD($F99-$E99,1)*24-N($G99)/60,2))</f>
        <v>0</v>
      </c>
      <c r="I99" s="47"/>
      <c r="J99" s="48" t="n">
        <f aca="false">IF($A99="",0,YEAR($A99))</f>
        <v>0</v>
      </c>
      <c r="K99" s="43" t="str">
        <f aca="false">IF($A99="","",INDEX(Monate,MONTH($A99)))</f>
        <v/>
      </c>
      <c r="L99" s="48" t="n">
        <f aca="false">IF($A99="",0,WEEKNUM($A99,2))</f>
        <v>0</v>
      </c>
    </row>
    <row r="100" customFormat="false" ht="15" hidden="false" customHeight="false" outlineLevel="0" collapsed="false">
      <c r="A100" s="35"/>
      <c r="B100" s="36"/>
      <c r="C100" s="36"/>
      <c r="D100" s="36"/>
      <c r="E100" s="37"/>
      <c r="F100" s="37"/>
      <c r="G100" s="38"/>
      <c r="H100" s="39" t="n">
        <f aca="false">IF(OR($E100="",$F100=""),0,ROUND(MOD($F100-$E100,1)*24-N($G100)/60,2))</f>
        <v>0</v>
      </c>
      <c r="I100" s="40"/>
      <c r="J100" s="41" t="n">
        <f aca="false">IF($A100="",0,YEAR($A100))</f>
        <v>0</v>
      </c>
      <c r="K100" s="36" t="str">
        <f aca="false">IF($A100="","",INDEX(Monate,MONTH($A100)))</f>
        <v/>
      </c>
      <c r="L100" s="41" t="n">
        <f aca="false">IF($A100="",0,WEEKNUM($A100,2))</f>
        <v>0</v>
      </c>
    </row>
    <row r="101" customFormat="false" ht="15" hidden="false" customHeight="false" outlineLevel="0" collapsed="false">
      <c r="A101" s="42"/>
      <c r="B101" s="43"/>
      <c r="C101" s="43"/>
      <c r="D101" s="43"/>
      <c r="E101" s="44"/>
      <c r="F101" s="44"/>
      <c r="G101" s="45"/>
      <c r="H101" s="46" t="n">
        <f aca="false">IF(OR($E101="",$F101=""),0,ROUND(MOD($F101-$E101,1)*24-N($G101)/60,2))</f>
        <v>0</v>
      </c>
      <c r="I101" s="47"/>
      <c r="J101" s="48" t="n">
        <f aca="false">IF($A101="",0,YEAR($A101))</f>
        <v>0</v>
      </c>
      <c r="K101" s="43" t="str">
        <f aca="false">IF($A101="","",INDEX(Monate,MONTH($A101)))</f>
        <v/>
      </c>
      <c r="L101" s="48" t="n">
        <f aca="false">IF($A101="",0,WEEKNUM($A101,2))</f>
        <v>0</v>
      </c>
    </row>
    <row r="102" customFormat="false" ht="15" hidden="false" customHeight="false" outlineLevel="0" collapsed="false">
      <c r="A102" s="35"/>
      <c r="B102" s="36"/>
      <c r="C102" s="36"/>
      <c r="D102" s="36"/>
      <c r="E102" s="37"/>
      <c r="F102" s="37"/>
      <c r="G102" s="38"/>
      <c r="H102" s="39" t="n">
        <f aca="false">IF(OR($E102="",$F102=""),0,ROUND(MOD($F102-$E102,1)*24-N($G102)/60,2))</f>
        <v>0</v>
      </c>
      <c r="I102" s="40"/>
      <c r="J102" s="41" t="n">
        <f aca="false">IF($A102="",0,YEAR($A102))</f>
        <v>0</v>
      </c>
      <c r="K102" s="36" t="str">
        <f aca="false">IF($A102="","",INDEX(Monate,MONTH($A102)))</f>
        <v/>
      </c>
      <c r="L102" s="41" t="n">
        <f aca="false">IF($A102="",0,WEEKNUM($A102,2))</f>
        <v>0</v>
      </c>
    </row>
    <row r="103" customFormat="false" ht="15" hidden="false" customHeight="false" outlineLevel="0" collapsed="false">
      <c r="A103" s="42"/>
      <c r="B103" s="43"/>
      <c r="C103" s="43"/>
      <c r="D103" s="43"/>
      <c r="E103" s="44"/>
      <c r="F103" s="44"/>
      <c r="G103" s="45"/>
      <c r="H103" s="46" t="n">
        <f aca="false">IF(OR($E103="",$F103=""),0,ROUND(MOD($F103-$E103,1)*24-N($G103)/60,2))</f>
        <v>0</v>
      </c>
      <c r="I103" s="47"/>
      <c r="J103" s="48" t="n">
        <f aca="false">IF($A103="",0,YEAR($A103))</f>
        <v>0</v>
      </c>
      <c r="K103" s="43" t="str">
        <f aca="false">IF($A103="","",INDEX(Monate,MONTH($A103)))</f>
        <v/>
      </c>
      <c r="L103" s="48" t="n">
        <f aca="false">IF($A103="",0,WEEKNUM($A103,2))</f>
        <v>0</v>
      </c>
    </row>
    <row r="104" customFormat="false" ht="15" hidden="false" customHeight="false" outlineLevel="0" collapsed="false">
      <c r="A104" s="35"/>
      <c r="B104" s="36"/>
      <c r="C104" s="36"/>
      <c r="D104" s="36"/>
      <c r="E104" s="37"/>
      <c r="F104" s="37"/>
      <c r="G104" s="38"/>
      <c r="H104" s="39" t="n">
        <f aca="false">IF(OR($E104="",$F104=""),0,ROUND(MOD($F104-$E104,1)*24-N($G104)/60,2))</f>
        <v>0</v>
      </c>
      <c r="I104" s="40"/>
      <c r="J104" s="41" t="n">
        <f aca="false">IF($A104="",0,YEAR($A104))</f>
        <v>0</v>
      </c>
      <c r="K104" s="36" t="str">
        <f aca="false">IF($A104="","",INDEX(Monate,MONTH($A104)))</f>
        <v/>
      </c>
      <c r="L104" s="41" t="n">
        <f aca="false">IF($A104="",0,WEEKNUM($A104,2))</f>
        <v>0</v>
      </c>
    </row>
    <row r="105" customFormat="false" ht="15" hidden="false" customHeight="false" outlineLevel="0" collapsed="false">
      <c r="A105" s="42"/>
      <c r="B105" s="43"/>
      <c r="C105" s="43"/>
      <c r="D105" s="43"/>
      <c r="E105" s="44"/>
      <c r="F105" s="44"/>
      <c r="G105" s="45"/>
      <c r="H105" s="46" t="n">
        <f aca="false">IF(OR($E105="",$F105=""),0,ROUND(MOD($F105-$E105,1)*24-N($G105)/60,2))</f>
        <v>0</v>
      </c>
      <c r="I105" s="47"/>
      <c r="J105" s="48" t="n">
        <f aca="false">IF($A105="",0,YEAR($A105))</f>
        <v>0</v>
      </c>
      <c r="K105" s="43" t="str">
        <f aca="false">IF($A105="","",INDEX(Monate,MONTH($A105)))</f>
        <v/>
      </c>
      <c r="L105" s="48" t="n">
        <f aca="false">IF($A105="",0,WEEKNUM($A105,2))</f>
        <v>0</v>
      </c>
    </row>
    <row r="106" customFormat="false" ht="15" hidden="false" customHeight="false" outlineLevel="0" collapsed="false">
      <c r="A106" s="35"/>
      <c r="B106" s="36"/>
      <c r="C106" s="36"/>
      <c r="D106" s="36"/>
      <c r="E106" s="37"/>
      <c r="F106" s="37"/>
      <c r="G106" s="38"/>
      <c r="H106" s="39" t="n">
        <f aca="false">IF(OR($E106="",$F106=""),0,ROUND(MOD($F106-$E106,1)*24-N($G106)/60,2))</f>
        <v>0</v>
      </c>
      <c r="I106" s="40"/>
      <c r="J106" s="41" t="n">
        <f aca="false">IF($A106="",0,YEAR($A106))</f>
        <v>0</v>
      </c>
      <c r="K106" s="36" t="str">
        <f aca="false">IF($A106="","",INDEX(Monate,MONTH($A106)))</f>
        <v/>
      </c>
      <c r="L106" s="41" t="n">
        <f aca="false">IF($A106="",0,WEEKNUM($A106,2))</f>
        <v>0</v>
      </c>
    </row>
    <row r="107" customFormat="false" ht="15" hidden="false" customHeight="false" outlineLevel="0" collapsed="false">
      <c r="A107" s="42"/>
      <c r="B107" s="43"/>
      <c r="C107" s="43"/>
      <c r="D107" s="43"/>
      <c r="E107" s="44"/>
      <c r="F107" s="44"/>
      <c r="G107" s="45"/>
      <c r="H107" s="46" t="n">
        <f aca="false">IF(OR($E107="",$F107=""),0,ROUND(MOD($F107-$E107,1)*24-N($G107)/60,2))</f>
        <v>0</v>
      </c>
      <c r="I107" s="47"/>
      <c r="J107" s="48" t="n">
        <f aca="false">IF($A107="",0,YEAR($A107))</f>
        <v>0</v>
      </c>
      <c r="K107" s="43" t="str">
        <f aca="false">IF($A107="","",INDEX(Monate,MONTH($A107)))</f>
        <v/>
      </c>
      <c r="L107" s="48" t="n">
        <f aca="false">IF($A107="",0,WEEKNUM($A107,2))</f>
        <v>0</v>
      </c>
    </row>
    <row r="108" customFormat="false" ht="15" hidden="false" customHeight="false" outlineLevel="0" collapsed="false">
      <c r="A108" s="35"/>
      <c r="B108" s="36"/>
      <c r="C108" s="36"/>
      <c r="D108" s="36"/>
      <c r="E108" s="37"/>
      <c r="F108" s="37"/>
      <c r="G108" s="38"/>
      <c r="H108" s="39" t="n">
        <f aca="false">IF(OR($E108="",$F108=""),0,ROUND(MOD($F108-$E108,1)*24-N($G108)/60,2))</f>
        <v>0</v>
      </c>
      <c r="I108" s="40"/>
      <c r="J108" s="41" t="n">
        <f aca="false">IF($A108="",0,YEAR($A108))</f>
        <v>0</v>
      </c>
      <c r="K108" s="36" t="str">
        <f aca="false">IF($A108="","",INDEX(Monate,MONTH($A108)))</f>
        <v/>
      </c>
      <c r="L108" s="41" t="n">
        <f aca="false">IF($A108="",0,WEEKNUM($A108,2))</f>
        <v>0</v>
      </c>
    </row>
    <row r="109" customFormat="false" ht="15" hidden="false" customHeight="false" outlineLevel="0" collapsed="false">
      <c r="A109" s="42"/>
      <c r="B109" s="43"/>
      <c r="C109" s="43"/>
      <c r="D109" s="43"/>
      <c r="E109" s="44"/>
      <c r="F109" s="44"/>
      <c r="G109" s="45"/>
      <c r="H109" s="46" t="n">
        <f aca="false">IF(OR($E109="",$F109=""),0,ROUND(MOD($F109-$E109,1)*24-N($G109)/60,2))</f>
        <v>0</v>
      </c>
      <c r="I109" s="47"/>
      <c r="J109" s="48" t="n">
        <f aca="false">IF($A109="",0,YEAR($A109))</f>
        <v>0</v>
      </c>
      <c r="K109" s="43" t="str">
        <f aca="false">IF($A109="","",INDEX(Monate,MONTH($A109)))</f>
        <v/>
      </c>
      <c r="L109" s="48" t="n">
        <f aca="false">IF($A109="",0,WEEKNUM($A109,2))</f>
        <v>0</v>
      </c>
    </row>
    <row r="110" customFormat="false" ht="15" hidden="false" customHeight="false" outlineLevel="0" collapsed="false">
      <c r="A110" s="35"/>
      <c r="B110" s="36"/>
      <c r="C110" s="36"/>
      <c r="D110" s="36"/>
      <c r="E110" s="37"/>
      <c r="F110" s="37"/>
      <c r="G110" s="38"/>
      <c r="H110" s="39" t="n">
        <f aca="false">IF(OR($E110="",$F110=""),0,ROUND(MOD($F110-$E110,1)*24-N($G110)/60,2))</f>
        <v>0</v>
      </c>
      <c r="I110" s="40"/>
      <c r="J110" s="41" t="n">
        <f aca="false">IF($A110="",0,YEAR($A110))</f>
        <v>0</v>
      </c>
      <c r="K110" s="36" t="str">
        <f aca="false">IF($A110="","",INDEX(Monate,MONTH($A110)))</f>
        <v/>
      </c>
      <c r="L110" s="41" t="n">
        <f aca="false">IF($A110="",0,WEEKNUM($A110,2))</f>
        <v>0</v>
      </c>
    </row>
    <row r="111" customFormat="false" ht="15" hidden="false" customHeight="false" outlineLevel="0" collapsed="false">
      <c r="A111" s="42"/>
      <c r="B111" s="43"/>
      <c r="C111" s="43"/>
      <c r="D111" s="43"/>
      <c r="E111" s="44"/>
      <c r="F111" s="44"/>
      <c r="G111" s="45"/>
      <c r="H111" s="46" t="n">
        <f aca="false">IF(OR($E111="",$F111=""),0,ROUND(MOD($F111-$E111,1)*24-N($G111)/60,2))</f>
        <v>0</v>
      </c>
      <c r="I111" s="47"/>
      <c r="J111" s="48" t="n">
        <f aca="false">IF($A111="",0,YEAR($A111))</f>
        <v>0</v>
      </c>
      <c r="K111" s="43" t="str">
        <f aca="false">IF($A111="","",INDEX(Monate,MONTH($A111)))</f>
        <v/>
      </c>
      <c r="L111" s="48" t="n">
        <f aca="false">IF($A111="",0,WEEKNUM($A111,2))</f>
        <v>0</v>
      </c>
    </row>
    <row r="112" customFormat="false" ht="15" hidden="false" customHeight="false" outlineLevel="0" collapsed="false">
      <c r="A112" s="35"/>
      <c r="B112" s="36"/>
      <c r="C112" s="36"/>
      <c r="D112" s="36"/>
      <c r="E112" s="37"/>
      <c r="F112" s="37"/>
      <c r="G112" s="38"/>
      <c r="H112" s="39" t="n">
        <f aca="false">IF(OR($E112="",$F112=""),0,ROUND(MOD($F112-$E112,1)*24-N($G112)/60,2))</f>
        <v>0</v>
      </c>
      <c r="I112" s="40"/>
      <c r="J112" s="41" t="n">
        <f aca="false">IF($A112="",0,YEAR($A112))</f>
        <v>0</v>
      </c>
      <c r="K112" s="36" t="str">
        <f aca="false">IF($A112="","",INDEX(Monate,MONTH($A112)))</f>
        <v/>
      </c>
      <c r="L112" s="41" t="n">
        <f aca="false">IF($A112="",0,WEEKNUM($A112,2))</f>
        <v>0</v>
      </c>
    </row>
    <row r="113" customFormat="false" ht="15" hidden="false" customHeight="false" outlineLevel="0" collapsed="false">
      <c r="A113" s="42"/>
      <c r="B113" s="43"/>
      <c r="C113" s="43"/>
      <c r="D113" s="43"/>
      <c r="E113" s="44"/>
      <c r="F113" s="44"/>
      <c r="G113" s="45"/>
      <c r="H113" s="46" t="n">
        <f aca="false">IF(OR($E113="",$F113=""),0,ROUND(MOD($F113-$E113,1)*24-N($G113)/60,2))</f>
        <v>0</v>
      </c>
      <c r="I113" s="47"/>
      <c r="J113" s="48" t="n">
        <f aca="false">IF($A113="",0,YEAR($A113))</f>
        <v>0</v>
      </c>
      <c r="K113" s="43" t="str">
        <f aca="false">IF($A113="","",INDEX(Monate,MONTH($A113)))</f>
        <v/>
      </c>
      <c r="L113" s="48" t="n">
        <f aca="false">IF($A113="",0,WEEKNUM($A113,2))</f>
        <v>0</v>
      </c>
    </row>
    <row r="114" customFormat="false" ht="15" hidden="false" customHeight="false" outlineLevel="0" collapsed="false">
      <c r="A114" s="35"/>
      <c r="B114" s="36"/>
      <c r="C114" s="36"/>
      <c r="D114" s="36"/>
      <c r="E114" s="37"/>
      <c r="F114" s="37"/>
      <c r="G114" s="38"/>
      <c r="H114" s="39" t="n">
        <f aca="false">IF(OR($E114="",$F114=""),0,ROUND(MOD($F114-$E114,1)*24-N($G114)/60,2))</f>
        <v>0</v>
      </c>
      <c r="I114" s="40"/>
      <c r="J114" s="41" t="n">
        <f aca="false">IF($A114="",0,YEAR($A114))</f>
        <v>0</v>
      </c>
      <c r="K114" s="36" t="str">
        <f aca="false">IF($A114="","",INDEX(Monate,MONTH($A114)))</f>
        <v/>
      </c>
      <c r="L114" s="41" t="n">
        <f aca="false">IF($A114="",0,WEEKNUM($A114,2))</f>
        <v>0</v>
      </c>
    </row>
    <row r="115" customFormat="false" ht="15" hidden="false" customHeight="false" outlineLevel="0" collapsed="false">
      <c r="A115" s="42"/>
      <c r="B115" s="43"/>
      <c r="C115" s="43"/>
      <c r="D115" s="43"/>
      <c r="E115" s="44"/>
      <c r="F115" s="44"/>
      <c r="G115" s="45"/>
      <c r="H115" s="46" t="n">
        <f aca="false">IF(OR($E115="",$F115=""),0,ROUND(MOD($F115-$E115,1)*24-N($G115)/60,2))</f>
        <v>0</v>
      </c>
      <c r="I115" s="47"/>
      <c r="J115" s="48" t="n">
        <f aca="false">IF($A115="",0,YEAR($A115))</f>
        <v>0</v>
      </c>
      <c r="K115" s="43" t="str">
        <f aca="false">IF($A115="","",INDEX(Monate,MONTH($A115)))</f>
        <v/>
      </c>
      <c r="L115" s="48" t="n">
        <f aca="false">IF($A115="",0,WEEKNUM($A115,2))</f>
        <v>0</v>
      </c>
    </row>
    <row r="116" customFormat="false" ht="15" hidden="false" customHeight="false" outlineLevel="0" collapsed="false">
      <c r="A116" s="35"/>
      <c r="B116" s="36"/>
      <c r="C116" s="36"/>
      <c r="D116" s="36"/>
      <c r="E116" s="37"/>
      <c r="F116" s="37"/>
      <c r="G116" s="38"/>
      <c r="H116" s="39" t="n">
        <f aca="false">IF(OR($E116="",$F116=""),0,ROUND(MOD($F116-$E116,1)*24-N($G116)/60,2))</f>
        <v>0</v>
      </c>
      <c r="I116" s="40"/>
      <c r="J116" s="41" t="n">
        <f aca="false">IF($A116="",0,YEAR($A116))</f>
        <v>0</v>
      </c>
      <c r="K116" s="36" t="str">
        <f aca="false">IF($A116="","",INDEX(Monate,MONTH($A116)))</f>
        <v/>
      </c>
      <c r="L116" s="41" t="n">
        <f aca="false">IF($A116="",0,WEEKNUM($A116,2))</f>
        <v>0</v>
      </c>
    </row>
    <row r="117" customFormat="false" ht="15" hidden="false" customHeight="false" outlineLevel="0" collapsed="false">
      <c r="A117" s="42"/>
      <c r="B117" s="43"/>
      <c r="C117" s="43"/>
      <c r="D117" s="43"/>
      <c r="E117" s="44"/>
      <c r="F117" s="44"/>
      <c r="G117" s="45"/>
      <c r="H117" s="46" t="n">
        <f aca="false">IF(OR($E117="",$F117=""),0,ROUND(MOD($F117-$E117,1)*24-N($G117)/60,2))</f>
        <v>0</v>
      </c>
      <c r="I117" s="47"/>
      <c r="J117" s="48" t="n">
        <f aca="false">IF($A117="",0,YEAR($A117))</f>
        <v>0</v>
      </c>
      <c r="K117" s="43" t="str">
        <f aca="false">IF($A117="","",INDEX(Monate,MONTH($A117)))</f>
        <v/>
      </c>
      <c r="L117" s="48" t="n">
        <f aca="false">IF($A117="",0,WEEKNUM($A117,2))</f>
        <v>0</v>
      </c>
    </row>
    <row r="118" customFormat="false" ht="15" hidden="false" customHeight="false" outlineLevel="0" collapsed="false">
      <c r="A118" s="35"/>
      <c r="B118" s="36"/>
      <c r="C118" s="36"/>
      <c r="D118" s="36"/>
      <c r="E118" s="37"/>
      <c r="F118" s="37"/>
      <c r="G118" s="38"/>
      <c r="H118" s="39" t="n">
        <f aca="false">IF(OR($E118="",$F118=""),0,ROUND(MOD($F118-$E118,1)*24-N($G118)/60,2))</f>
        <v>0</v>
      </c>
      <c r="I118" s="40"/>
      <c r="J118" s="41" t="n">
        <f aca="false">IF($A118="",0,YEAR($A118))</f>
        <v>0</v>
      </c>
      <c r="K118" s="36" t="str">
        <f aca="false">IF($A118="","",INDEX(Monate,MONTH($A118)))</f>
        <v/>
      </c>
      <c r="L118" s="41" t="n">
        <f aca="false">IF($A118="",0,WEEKNUM($A118,2))</f>
        <v>0</v>
      </c>
    </row>
    <row r="119" customFormat="false" ht="15" hidden="false" customHeight="false" outlineLevel="0" collapsed="false">
      <c r="A119" s="42"/>
      <c r="B119" s="43"/>
      <c r="C119" s="43"/>
      <c r="D119" s="43"/>
      <c r="E119" s="44"/>
      <c r="F119" s="44"/>
      <c r="G119" s="45"/>
      <c r="H119" s="46" t="n">
        <f aca="false">IF(OR($E119="",$F119=""),0,ROUND(MOD($F119-$E119,1)*24-N($G119)/60,2))</f>
        <v>0</v>
      </c>
      <c r="I119" s="47"/>
      <c r="J119" s="48" t="n">
        <f aca="false">IF($A119="",0,YEAR($A119))</f>
        <v>0</v>
      </c>
      <c r="K119" s="43" t="str">
        <f aca="false">IF($A119="","",INDEX(Monate,MONTH($A119)))</f>
        <v/>
      </c>
      <c r="L119" s="48" t="n">
        <f aca="false">IF($A119="",0,WEEKNUM($A119,2))</f>
        <v>0</v>
      </c>
    </row>
    <row r="120" customFormat="false" ht="15" hidden="false" customHeight="false" outlineLevel="0" collapsed="false">
      <c r="A120" s="35"/>
      <c r="B120" s="36"/>
      <c r="C120" s="36"/>
      <c r="D120" s="36"/>
      <c r="E120" s="37"/>
      <c r="F120" s="37"/>
      <c r="G120" s="38"/>
      <c r="H120" s="39" t="n">
        <f aca="false">IF(OR($E120="",$F120=""),0,ROUND(MOD($F120-$E120,1)*24-N($G120)/60,2))</f>
        <v>0</v>
      </c>
      <c r="I120" s="40"/>
      <c r="J120" s="41" t="n">
        <f aca="false">IF($A120="",0,YEAR($A120))</f>
        <v>0</v>
      </c>
      <c r="K120" s="36" t="str">
        <f aca="false">IF($A120="","",INDEX(Monate,MONTH($A120)))</f>
        <v/>
      </c>
      <c r="L120" s="41" t="n">
        <f aca="false">IF($A120="",0,WEEKNUM($A120,2))</f>
        <v>0</v>
      </c>
    </row>
    <row r="121" customFormat="false" ht="15" hidden="false" customHeight="false" outlineLevel="0" collapsed="false">
      <c r="A121" s="42"/>
      <c r="B121" s="43"/>
      <c r="C121" s="43"/>
      <c r="D121" s="43"/>
      <c r="E121" s="44"/>
      <c r="F121" s="44"/>
      <c r="G121" s="45"/>
      <c r="H121" s="46" t="n">
        <f aca="false">IF(OR($E121="",$F121=""),0,ROUND(MOD($F121-$E121,1)*24-N($G121)/60,2))</f>
        <v>0</v>
      </c>
      <c r="I121" s="47"/>
      <c r="J121" s="48" t="n">
        <f aca="false">IF($A121="",0,YEAR($A121))</f>
        <v>0</v>
      </c>
      <c r="K121" s="43" t="str">
        <f aca="false">IF($A121="","",INDEX(Monate,MONTH($A121)))</f>
        <v/>
      </c>
      <c r="L121" s="48" t="n">
        <f aca="false">IF($A121="",0,WEEKNUM($A121,2))</f>
        <v>0</v>
      </c>
    </row>
    <row r="122" customFormat="false" ht="15" hidden="false" customHeight="false" outlineLevel="0" collapsed="false">
      <c r="A122" s="35"/>
      <c r="B122" s="36"/>
      <c r="C122" s="36"/>
      <c r="D122" s="36"/>
      <c r="E122" s="37"/>
      <c r="F122" s="37"/>
      <c r="G122" s="38"/>
      <c r="H122" s="39" t="n">
        <f aca="false">IF(OR($E122="",$F122=""),0,ROUND(MOD($F122-$E122,1)*24-N($G122)/60,2))</f>
        <v>0</v>
      </c>
      <c r="I122" s="40"/>
      <c r="J122" s="41" t="n">
        <f aca="false">IF($A122="",0,YEAR($A122))</f>
        <v>0</v>
      </c>
      <c r="K122" s="36" t="str">
        <f aca="false">IF($A122="","",INDEX(Monate,MONTH($A122)))</f>
        <v/>
      </c>
      <c r="L122" s="41" t="n">
        <f aca="false">IF($A122="",0,WEEKNUM($A122,2))</f>
        <v>0</v>
      </c>
    </row>
    <row r="123" customFormat="false" ht="15" hidden="false" customHeight="false" outlineLevel="0" collapsed="false">
      <c r="A123" s="42"/>
      <c r="B123" s="43"/>
      <c r="C123" s="43"/>
      <c r="D123" s="43"/>
      <c r="E123" s="44"/>
      <c r="F123" s="44"/>
      <c r="G123" s="45"/>
      <c r="H123" s="46" t="n">
        <f aca="false">IF(OR($E123="",$F123=""),0,ROUND(MOD($F123-$E123,1)*24-N($G123)/60,2))</f>
        <v>0</v>
      </c>
      <c r="I123" s="47"/>
      <c r="J123" s="48" t="n">
        <f aca="false">IF($A123="",0,YEAR($A123))</f>
        <v>0</v>
      </c>
      <c r="K123" s="43" t="str">
        <f aca="false">IF($A123="","",INDEX(Monate,MONTH($A123)))</f>
        <v/>
      </c>
      <c r="L123" s="48" t="n">
        <f aca="false">IF($A123="",0,WEEKNUM($A123,2))</f>
        <v>0</v>
      </c>
    </row>
    <row r="124" customFormat="false" ht="15" hidden="false" customHeight="false" outlineLevel="0" collapsed="false">
      <c r="A124" s="35"/>
      <c r="B124" s="36"/>
      <c r="C124" s="36"/>
      <c r="D124" s="36"/>
      <c r="E124" s="37"/>
      <c r="F124" s="37"/>
      <c r="G124" s="38"/>
      <c r="H124" s="39" t="n">
        <f aca="false">IF(OR($E124="",$F124=""),0,ROUND(MOD($F124-$E124,1)*24-N($G124)/60,2))</f>
        <v>0</v>
      </c>
      <c r="I124" s="40"/>
      <c r="J124" s="41" t="n">
        <f aca="false">IF($A124="",0,YEAR($A124))</f>
        <v>0</v>
      </c>
      <c r="K124" s="36" t="str">
        <f aca="false">IF($A124="","",INDEX(Monate,MONTH($A124)))</f>
        <v/>
      </c>
      <c r="L124" s="41" t="n">
        <f aca="false">IF($A124="",0,WEEKNUM($A124,2))</f>
        <v>0</v>
      </c>
    </row>
    <row r="125" customFormat="false" ht="15" hidden="false" customHeight="false" outlineLevel="0" collapsed="false">
      <c r="A125" s="42"/>
      <c r="B125" s="43"/>
      <c r="C125" s="43"/>
      <c r="D125" s="43"/>
      <c r="E125" s="44"/>
      <c r="F125" s="44"/>
      <c r="G125" s="45"/>
      <c r="H125" s="46" t="n">
        <f aca="false">IF(OR($E125="",$F125=""),0,ROUND(MOD($F125-$E125,1)*24-N($G125)/60,2))</f>
        <v>0</v>
      </c>
      <c r="I125" s="47"/>
      <c r="J125" s="48" t="n">
        <f aca="false">IF($A125="",0,YEAR($A125))</f>
        <v>0</v>
      </c>
      <c r="K125" s="43" t="str">
        <f aca="false">IF($A125="","",INDEX(Monate,MONTH($A125)))</f>
        <v/>
      </c>
      <c r="L125" s="48" t="n">
        <f aca="false">IF($A125="",0,WEEKNUM($A125,2))</f>
        <v>0</v>
      </c>
    </row>
    <row r="126" customFormat="false" ht="15" hidden="false" customHeight="false" outlineLevel="0" collapsed="false">
      <c r="A126" s="35"/>
      <c r="B126" s="36"/>
      <c r="C126" s="36"/>
      <c r="D126" s="36"/>
      <c r="E126" s="37"/>
      <c r="F126" s="37"/>
      <c r="G126" s="38"/>
      <c r="H126" s="39" t="n">
        <f aca="false">IF(OR($E126="",$F126=""),0,ROUND(MOD($F126-$E126,1)*24-N($G126)/60,2))</f>
        <v>0</v>
      </c>
      <c r="I126" s="40"/>
      <c r="J126" s="41" t="n">
        <f aca="false">IF($A126="",0,YEAR($A126))</f>
        <v>0</v>
      </c>
      <c r="K126" s="36" t="str">
        <f aca="false">IF($A126="","",INDEX(Monate,MONTH($A126)))</f>
        <v/>
      </c>
      <c r="L126" s="41" t="n">
        <f aca="false">IF($A126="",0,WEEKNUM($A126,2))</f>
        <v>0</v>
      </c>
    </row>
    <row r="127" customFormat="false" ht="15" hidden="false" customHeight="false" outlineLevel="0" collapsed="false">
      <c r="A127" s="42"/>
      <c r="B127" s="43"/>
      <c r="C127" s="43"/>
      <c r="D127" s="43"/>
      <c r="E127" s="44"/>
      <c r="F127" s="44"/>
      <c r="G127" s="45"/>
      <c r="H127" s="46" t="n">
        <f aca="false">IF(OR($E127="",$F127=""),0,ROUND(MOD($F127-$E127,1)*24-N($G127)/60,2))</f>
        <v>0</v>
      </c>
      <c r="I127" s="47"/>
      <c r="J127" s="48" t="n">
        <f aca="false">IF($A127="",0,YEAR($A127))</f>
        <v>0</v>
      </c>
      <c r="K127" s="43" t="str">
        <f aca="false">IF($A127="","",INDEX(Monate,MONTH($A127)))</f>
        <v/>
      </c>
      <c r="L127" s="48" t="n">
        <f aca="false">IF($A127="",0,WEEKNUM($A127,2))</f>
        <v>0</v>
      </c>
    </row>
    <row r="128" customFormat="false" ht="15" hidden="false" customHeight="false" outlineLevel="0" collapsed="false">
      <c r="A128" s="35"/>
      <c r="B128" s="36"/>
      <c r="C128" s="36"/>
      <c r="D128" s="36"/>
      <c r="E128" s="37"/>
      <c r="F128" s="37"/>
      <c r="G128" s="38"/>
      <c r="H128" s="39" t="n">
        <f aca="false">IF(OR($E128="",$F128=""),0,ROUND(MOD($F128-$E128,1)*24-N($G128)/60,2))</f>
        <v>0</v>
      </c>
      <c r="I128" s="40"/>
      <c r="J128" s="41" t="n">
        <f aca="false">IF($A128="",0,YEAR($A128))</f>
        <v>0</v>
      </c>
      <c r="K128" s="36" t="str">
        <f aca="false">IF($A128="","",INDEX(Monate,MONTH($A128)))</f>
        <v/>
      </c>
      <c r="L128" s="41" t="n">
        <f aca="false">IF($A128="",0,WEEKNUM($A128,2))</f>
        <v>0</v>
      </c>
    </row>
    <row r="129" customFormat="false" ht="15" hidden="false" customHeight="false" outlineLevel="0" collapsed="false">
      <c r="A129" s="42"/>
      <c r="B129" s="43"/>
      <c r="C129" s="43"/>
      <c r="D129" s="43"/>
      <c r="E129" s="44"/>
      <c r="F129" s="44"/>
      <c r="G129" s="45"/>
      <c r="H129" s="46" t="n">
        <f aca="false">IF(OR($E129="",$F129=""),0,ROUND(MOD($F129-$E129,1)*24-N($G129)/60,2))</f>
        <v>0</v>
      </c>
      <c r="I129" s="47"/>
      <c r="J129" s="48" t="n">
        <f aca="false">IF($A129="",0,YEAR($A129))</f>
        <v>0</v>
      </c>
      <c r="K129" s="43" t="str">
        <f aca="false">IF($A129="","",INDEX(Monate,MONTH($A129)))</f>
        <v/>
      </c>
      <c r="L129" s="48" t="n">
        <f aca="false">IF($A129="",0,WEEKNUM($A129,2))</f>
        <v>0</v>
      </c>
    </row>
    <row r="130" customFormat="false" ht="15" hidden="false" customHeight="false" outlineLevel="0" collapsed="false">
      <c r="A130" s="35"/>
      <c r="B130" s="36"/>
      <c r="C130" s="36"/>
      <c r="D130" s="36"/>
      <c r="E130" s="37"/>
      <c r="F130" s="37"/>
      <c r="G130" s="38"/>
      <c r="H130" s="39" t="n">
        <f aca="false">IF(OR($E130="",$F130=""),0,ROUND(MOD($F130-$E130,1)*24-N($G130)/60,2))</f>
        <v>0</v>
      </c>
      <c r="I130" s="40"/>
      <c r="J130" s="41" t="n">
        <f aca="false">IF($A130="",0,YEAR($A130))</f>
        <v>0</v>
      </c>
      <c r="K130" s="36" t="str">
        <f aca="false">IF($A130="","",INDEX(Monate,MONTH($A130)))</f>
        <v/>
      </c>
      <c r="L130" s="41" t="n">
        <f aca="false">IF($A130="",0,WEEKNUM($A130,2))</f>
        <v>0</v>
      </c>
    </row>
    <row r="131" customFormat="false" ht="15" hidden="false" customHeight="false" outlineLevel="0" collapsed="false">
      <c r="A131" s="42"/>
      <c r="B131" s="43"/>
      <c r="C131" s="43"/>
      <c r="D131" s="43"/>
      <c r="E131" s="44"/>
      <c r="F131" s="44"/>
      <c r="G131" s="45"/>
      <c r="H131" s="46" t="n">
        <f aca="false">IF(OR($E131="",$F131=""),0,ROUND(MOD($F131-$E131,1)*24-N($G131)/60,2))</f>
        <v>0</v>
      </c>
      <c r="I131" s="47"/>
      <c r="J131" s="48" t="n">
        <f aca="false">IF($A131="",0,YEAR($A131))</f>
        <v>0</v>
      </c>
      <c r="K131" s="43" t="str">
        <f aca="false">IF($A131="","",INDEX(Monate,MONTH($A131)))</f>
        <v/>
      </c>
      <c r="L131" s="48" t="n">
        <f aca="false">IF($A131="",0,WEEKNUM($A131,2))</f>
        <v>0</v>
      </c>
    </row>
    <row r="132" customFormat="false" ht="15" hidden="false" customHeight="false" outlineLevel="0" collapsed="false">
      <c r="A132" s="35"/>
      <c r="B132" s="36"/>
      <c r="C132" s="36"/>
      <c r="D132" s="36"/>
      <c r="E132" s="37"/>
      <c r="F132" s="37"/>
      <c r="G132" s="38"/>
      <c r="H132" s="39" t="n">
        <f aca="false">IF(OR($E132="",$F132=""),0,ROUND(MOD($F132-$E132,1)*24-N($G132)/60,2))</f>
        <v>0</v>
      </c>
      <c r="I132" s="40"/>
      <c r="J132" s="41" t="n">
        <f aca="false">IF($A132="",0,YEAR($A132))</f>
        <v>0</v>
      </c>
      <c r="K132" s="36" t="str">
        <f aca="false">IF($A132="","",INDEX(Monate,MONTH($A132)))</f>
        <v/>
      </c>
      <c r="L132" s="41" t="n">
        <f aca="false">IF($A132="",0,WEEKNUM($A132,2))</f>
        <v>0</v>
      </c>
    </row>
    <row r="133" customFormat="false" ht="15" hidden="false" customHeight="false" outlineLevel="0" collapsed="false">
      <c r="A133" s="42"/>
      <c r="B133" s="43"/>
      <c r="C133" s="43"/>
      <c r="D133" s="43"/>
      <c r="E133" s="44"/>
      <c r="F133" s="44"/>
      <c r="G133" s="45"/>
      <c r="H133" s="46" t="n">
        <f aca="false">IF(OR($E133="",$F133=""),0,ROUND(MOD($F133-$E133,1)*24-N($G133)/60,2))</f>
        <v>0</v>
      </c>
      <c r="I133" s="47"/>
      <c r="J133" s="48" t="n">
        <f aca="false">IF($A133="",0,YEAR($A133))</f>
        <v>0</v>
      </c>
      <c r="K133" s="43" t="str">
        <f aca="false">IF($A133="","",INDEX(Monate,MONTH($A133)))</f>
        <v/>
      </c>
      <c r="L133" s="48" t="n">
        <f aca="false">IF($A133="",0,WEEKNUM($A133,2))</f>
        <v>0</v>
      </c>
    </row>
    <row r="134" customFormat="false" ht="15" hidden="false" customHeight="false" outlineLevel="0" collapsed="false">
      <c r="A134" s="35"/>
      <c r="B134" s="36"/>
      <c r="C134" s="36"/>
      <c r="D134" s="36"/>
      <c r="E134" s="37"/>
      <c r="F134" s="37"/>
      <c r="G134" s="38"/>
      <c r="H134" s="39" t="n">
        <f aca="false">IF(OR($E134="",$F134=""),0,ROUND(MOD($F134-$E134,1)*24-N($G134)/60,2))</f>
        <v>0</v>
      </c>
      <c r="I134" s="40"/>
      <c r="J134" s="41" t="n">
        <f aca="false">IF($A134="",0,YEAR($A134))</f>
        <v>0</v>
      </c>
      <c r="K134" s="36" t="str">
        <f aca="false">IF($A134="","",INDEX(Monate,MONTH($A134)))</f>
        <v/>
      </c>
      <c r="L134" s="41" t="n">
        <f aca="false">IF($A134="",0,WEEKNUM($A134,2))</f>
        <v>0</v>
      </c>
    </row>
    <row r="135" customFormat="false" ht="15" hidden="false" customHeight="false" outlineLevel="0" collapsed="false">
      <c r="A135" s="42"/>
      <c r="B135" s="43"/>
      <c r="C135" s="43"/>
      <c r="D135" s="43"/>
      <c r="E135" s="44"/>
      <c r="F135" s="44"/>
      <c r="G135" s="45"/>
      <c r="H135" s="46" t="n">
        <f aca="false">IF(OR($E135="",$F135=""),0,ROUND(MOD($F135-$E135,1)*24-N($G135)/60,2))</f>
        <v>0</v>
      </c>
      <c r="I135" s="47"/>
      <c r="J135" s="48" t="n">
        <f aca="false">IF($A135="",0,YEAR($A135))</f>
        <v>0</v>
      </c>
      <c r="K135" s="43" t="str">
        <f aca="false">IF($A135="","",INDEX(Monate,MONTH($A135)))</f>
        <v/>
      </c>
      <c r="L135" s="48" t="n">
        <f aca="false">IF($A135="",0,WEEKNUM($A135,2))</f>
        <v>0</v>
      </c>
    </row>
    <row r="136" customFormat="false" ht="15" hidden="false" customHeight="false" outlineLevel="0" collapsed="false">
      <c r="A136" s="35"/>
      <c r="B136" s="36"/>
      <c r="C136" s="36"/>
      <c r="D136" s="36"/>
      <c r="E136" s="37"/>
      <c r="F136" s="37"/>
      <c r="G136" s="38"/>
      <c r="H136" s="39" t="n">
        <f aca="false">IF(OR($E136="",$F136=""),0,ROUND(MOD($F136-$E136,1)*24-N($G136)/60,2))</f>
        <v>0</v>
      </c>
      <c r="I136" s="40"/>
      <c r="J136" s="41" t="n">
        <f aca="false">IF($A136="",0,YEAR($A136))</f>
        <v>0</v>
      </c>
      <c r="K136" s="36" t="str">
        <f aca="false">IF($A136="","",INDEX(Monate,MONTH($A136)))</f>
        <v/>
      </c>
      <c r="L136" s="41" t="n">
        <f aca="false">IF($A136="",0,WEEKNUM($A136,2))</f>
        <v>0</v>
      </c>
    </row>
    <row r="137" customFormat="false" ht="15" hidden="false" customHeight="false" outlineLevel="0" collapsed="false">
      <c r="A137" s="42"/>
      <c r="B137" s="43"/>
      <c r="C137" s="43"/>
      <c r="D137" s="43"/>
      <c r="E137" s="44"/>
      <c r="F137" s="44"/>
      <c r="G137" s="45"/>
      <c r="H137" s="46" t="n">
        <f aca="false">IF(OR($E137="",$F137=""),0,ROUND(MOD($F137-$E137,1)*24-N($G137)/60,2))</f>
        <v>0</v>
      </c>
      <c r="I137" s="47"/>
      <c r="J137" s="48" t="n">
        <f aca="false">IF($A137="",0,YEAR($A137))</f>
        <v>0</v>
      </c>
      <c r="K137" s="43" t="str">
        <f aca="false">IF($A137="","",INDEX(Monate,MONTH($A137)))</f>
        <v/>
      </c>
      <c r="L137" s="48" t="n">
        <f aca="false">IF($A137="",0,WEEKNUM($A137,2))</f>
        <v>0</v>
      </c>
    </row>
    <row r="138" customFormat="false" ht="15" hidden="false" customHeight="false" outlineLevel="0" collapsed="false">
      <c r="A138" s="35"/>
      <c r="B138" s="36"/>
      <c r="C138" s="36"/>
      <c r="D138" s="36"/>
      <c r="E138" s="37"/>
      <c r="F138" s="37"/>
      <c r="G138" s="38"/>
      <c r="H138" s="39" t="n">
        <f aca="false">IF(OR($E138="",$F138=""),0,ROUND(MOD($F138-$E138,1)*24-N($G138)/60,2))</f>
        <v>0</v>
      </c>
      <c r="I138" s="40"/>
      <c r="J138" s="41" t="n">
        <f aca="false">IF($A138="",0,YEAR($A138))</f>
        <v>0</v>
      </c>
      <c r="K138" s="36" t="str">
        <f aca="false">IF($A138="","",INDEX(Monate,MONTH($A138)))</f>
        <v/>
      </c>
      <c r="L138" s="41" t="n">
        <f aca="false">IF($A138="",0,WEEKNUM($A138,2))</f>
        <v>0</v>
      </c>
    </row>
    <row r="139" customFormat="false" ht="15" hidden="false" customHeight="false" outlineLevel="0" collapsed="false">
      <c r="A139" s="42"/>
      <c r="B139" s="43"/>
      <c r="C139" s="43"/>
      <c r="D139" s="43"/>
      <c r="E139" s="44"/>
      <c r="F139" s="44"/>
      <c r="G139" s="45"/>
      <c r="H139" s="46" t="n">
        <f aca="false">IF(OR($E139="",$F139=""),0,ROUND(MOD($F139-$E139,1)*24-N($G139)/60,2))</f>
        <v>0</v>
      </c>
      <c r="I139" s="47"/>
      <c r="J139" s="48" t="n">
        <f aca="false">IF($A139="",0,YEAR($A139))</f>
        <v>0</v>
      </c>
      <c r="K139" s="43" t="str">
        <f aca="false">IF($A139="","",INDEX(Monate,MONTH($A139)))</f>
        <v/>
      </c>
      <c r="L139" s="48" t="n">
        <f aca="false">IF($A139="",0,WEEKNUM($A139,2))</f>
        <v>0</v>
      </c>
    </row>
    <row r="140" customFormat="false" ht="15" hidden="false" customHeight="false" outlineLevel="0" collapsed="false">
      <c r="A140" s="35"/>
      <c r="B140" s="36"/>
      <c r="C140" s="36"/>
      <c r="D140" s="36"/>
      <c r="E140" s="37"/>
      <c r="F140" s="37"/>
      <c r="G140" s="38"/>
      <c r="H140" s="39" t="n">
        <f aca="false">IF(OR($E140="",$F140=""),0,ROUND(MOD($F140-$E140,1)*24-N($G140)/60,2))</f>
        <v>0</v>
      </c>
      <c r="I140" s="40"/>
      <c r="J140" s="41" t="n">
        <f aca="false">IF($A140="",0,YEAR($A140))</f>
        <v>0</v>
      </c>
      <c r="K140" s="36" t="str">
        <f aca="false">IF($A140="","",INDEX(Monate,MONTH($A140)))</f>
        <v/>
      </c>
      <c r="L140" s="41" t="n">
        <f aca="false">IF($A140="",0,WEEKNUM($A140,2))</f>
        <v>0</v>
      </c>
    </row>
    <row r="141" customFormat="false" ht="15" hidden="false" customHeight="false" outlineLevel="0" collapsed="false">
      <c r="A141" s="42"/>
      <c r="B141" s="43"/>
      <c r="C141" s="43"/>
      <c r="D141" s="43"/>
      <c r="E141" s="44"/>
      <c r="F141" s="44"/>
      <c r="G141" s="45"/>
      <c r="H141" s="46" t="n">
        <f aca="false">IF(OR($E141="",$F141=""),0,ROUND(MOD($F141-$E141,1)*24-N($G141)/60,2))</f>
        <v>0</v>
      </c>
      <c r="I141" s="47"/>
      <c r="J141" s="48" t="n">
        <f aca="false">IF($A141="",0,YEAR($A141))</f>
        <v>0</v>
      </c>
      <c r="K141" s="43" t="str">
        <f aca="false">IF($A141="","",INDEX(Monate,MONTH($A141)))</f>
        <v/>
      </c>
      <c r="L141" s="48" t="n">
        <f aca="false">IF($A141="",0,WEEKNUM($A141,2))</f>
        <v>0</v>
      </c>
    </row>
    <row r="142" customFormat="false" ht="15" hidden="false" customHeight="false" outlineLevel="0" collapsed="false">
      <c r="A142" s="35"/>
      <c r="B142" s="36"/>
      <c r="C142" s="36"/>
      <c r="D142" s="36"/>
      <c r="E142" s="37"/>
      <c r="F142" s="37"/>
      <c r="G142" s="38"/>
      <c r="H142" s="39" t="n">
        <f aca="false">IF(OR($E142="",$F142=""),0,ROUND(MOD($F142-$E142,1)*24-N($G142)/60,2))</f>
        <v>0</v>
      </c>
      <c r="I142" s="40"/>
      <c r="J142" s="41" t="n">
        <f aca="false">IF($A142="",0,YEAR($A142))</f>
        <v>0</v>
      </c>
      <c r="K142" s="36" t="str">
        <f aca="false">IF($A142="","",INDEX(Monate,MONTH($A142)))</f>
        <v/>
      </c>
      <c r="L142" s="41" t="n">
        <f aca="false">IF($A142="",0,WEEKNUM($A142,2))</f>
        <v>0</v>
      </c>
    </row>
    <row r="143" customFormat="false" ht="15" hidden="false" customHeight="false" outlineLevel="0" collapsed="false">
      <c r="A143" s="42"/>
      <c r="B143" s="43"/>
      <c r="C143" s="43"/>
      <c r="D143" s="43"/>
      <c r="E143" s="44"/>
      <c r="F143" s="44"/>
      <c r="G143" s="45"/>
      <c r="H143" s="46" t="n">
        <f aca="false">IF(OR($E143="",$F143=""),0,ROUND(MOD($F143-$E143,1)*24-N($G143)/60,2))</f>
        <v>0</v>
      </c>
      <c r="I143" s="47"/>
      <c r="J143" s="48" t="n">
        <f aca="false">IF($A143="",0,YEAR($A143))</f>
        <v>0</v>
      </c>
      <c r="K143" s="43" t="str">
        <f aca="false">IF($A143="","",INDEX(Monate,MONTH($A143)))</f>
        <v/>
      </c>
      <c r="L143" s="48" t="n">
        <f aca="false">IF($A143="",0,WEEKNUM($A143,2))</f>
        <v>0</v>
      </c>
    </row>
    <row r="144" customFormat="false" ht="15" hidden="false" customHeight="false" outlineLevel="0" collapsed="false">
      <c r="A144" s="35"/>
      <c r="B144" s="36"/>
      <c r="C144" s="36"/>
      <c r="D144" s="36"/>
      <c r="E144" s="37"/>
      <c r="F144" s="37"/>
      <c r="G144" s="38"/>
      <c r="H144" s="39" t="n">
        <f aca="false">IF(OR($E144="",$F144=""),0,ROUND(MOD($F144-$E144,1)*24-N($G144)/60,2))</f>
        <v>0</v>
      </c>
      <c r="I144" s="40"/>
      <c r="J144" s="41" t="n">
        <f aca="false">IF($A144="",0,YEAR($A144))</f>
        <v>0</v>
      </c>
      <c r="K144" s="36" t="str">
        <f aca="false">IF($A144="","",INDEX(Monate,MONTH($A144)))</f>
        <v/>
      </c>
      <c r="L144" s="41" t="n">
        <f aca="false">IF($A144="",0,WEEKNUM($A144,2))</f>
        <v>0</v>
      </c>
    </row>
    <row r="145" customFormat="false" ht="15" hidden="false" customHeight="false" outlineLevel="0" collapsed="false">
      <c r="A145" s="42"/>
      <c r="B145" s="43"/>
      <c r="C145" s="43"/>
      <c r="D145" s="43"/>
      <c r="E145" s="44"/>
      <c r="F145" s="44"/>
      <c r="G145" s="45"/>
      <c r="H145" s="46" t="n">
        <f aca="false">IF(OR($E145="",$F145=""),0,ROUND(MOD($F145-$E145,1)*24-N($G145)/60,2))</f>
        <v>0</v>
      </c>
      <c r="I145" s="47"/>
      <c r="J145" s="48" t="n">
        <f aca="false">IF($A145="",0,YEAR($A145))</f>
        <v>0</v>
      </c>
      <c r="K145" s="43" t="str">
        <f aca="false">IF($A145="","",INDEX(Monate,MONTH($A145)))</f>
        <v/>
      </c>
      <c r="L145" s="48" t="n">
        <f aca="false">IF($A145="",0,WEEKNUM($A145,2))</f>
        <v>0</v>
      </c>
    </row>
    <row r="146" customFormat="false" ht="15" hidden="false" customHeight="false" outlineLevel="0" collapsed="false">
      <c r="A146" s="35"/>
      <c r="B146" s="36"/>
      <c r="C146" s="36"/>
      <c r="D146" s="36"/>
      <c r="E146" s="37"/>
      <c r="F146" s="37"/>
      <c r="G146" s="38"/>
      <c r="H146" s="39" t="n">
        <f aca="false">IF(OR($E146="",$F146=""),0,ROUND(MOD($F146-$E146,1)*24-N($G146)/60,2))</f>
        <v>0</v>
      </c>
      <c r="I146" s="40"/>
      <c r="J146" s="41" t="n">
        <f aca="false">IF($A146="",0,YEAR($A146))</f>
        <v>0</v>
      </c>
      <c r="K146" s="36" t="str">
        <f aca="false">IF($A146="","",INDEX(Monate,MONTH($A146)))</f>
        <v/>
      </c>
      <c r="L146" s="41" t="n">
        <f aca="false">IF($A146="",0,WEEKNUM($A146,2))</f>
        <v>0</v>
      </c>
    </row>
    <row r="147" customFormat="false" ht="15" hidden="false" customHeight="false" outlineLevel="0" collapsed="false">
      <c r="A147" s="42"/>
      <c r="B147" s="43"/>
      <c r="C147" s="43"/>
      <c r="D147" s="43"/>
      <c r="E147" s="44"/>
      <c r="F147" s="44"/>
      <c r="G147" s="45"/>
      <c r="H147" s="46" t="n">
        <f aca="false">IF(OR($E147="",$F147=""),0,ROUND(MOD($F147-$E147,1)*24-N($G147)/60,2))</f>
        <v>0</v>
      </c>
      <c r="I147" s="47"/>
      <c r="J147" s="48" t="n">
        <f aca="false">IF($A147="",0,YEAR($A147))</f>
        <v>0</v>
      </c>
      <c r="K147" s="43" t="str">
        <f aca="false">IF($A147="","",INDEX(Monate,MONTH($A147)))</f>
        <v/>
      </c>
      <c r="L147" s="48" t="n">
        <f aca="false">IF($A147="",0,WEEKNUM($A147,2))</f>
        <v>0</v>
      </c>
    </row>
    <row r="148" customFormat="false" ht="15" hidden="false" customHeight="false" outlineLevel="0" collapsed="false">
      <c r="A148" s="35"/>
      <c r="B148" s="36"/>
      <c r="C148" s="36"/>
      <c r="D148" s="36"/>
      <c r="E148" s="37"/>
      <c r="F148" s="37"/>
      <c r="G148" s="38"/>
      <c r="H148" s="39" t="n">
        <f aca="false">IF(OR($E148="",$F148=""),0,ROUND(MOD($F148-$E148,1)*24-N($G148)/60,2))</f>
        <v>0</v>
      </c>
      <c r="I148" s="40"/>
      <c r="J148" s="41" t="n">
        <f aca="false">IF($A148="",0,YEAR($A148))</f>
        <v>0</v>
      </c>
      <c r="K148" s="36" t="str">
        <f aca="false">IF($A148="","",INDEX(Monate,MONTH($A148)))</f>
        <v/>
      </c>
      <c r="L148" s="41" t="n">
        <f aca="false">IF($A148="",0,WEEKNUM($A148,2))</f>
        <v>0</v>
      </c>
    </row>
    <row r="149" customFormat="false" ht="15" hidden="false" customHeight="false" outlineLevel="0" collapsed="false">
      <c r="A149" s="42"/>
      <c r="B149" s="43"/>
      <c r="C149" s="43"/>
      <c r="D149" s="43"/>
      <c r="E149" s="44"/>
      <c r="F149" s="44"/>
      <c r="G149" s="45"/>
      <c r="H149" s="46" t="n">
        <f aca="false">IF(OR($E149="",$F149=""),0,ROUND(MOD($F149-$E149,1)*24-N($G149)/60,2))</f>
        <v>0</v>
      </c>
      <c r="I149" s="47"/>
      <c r="J149" s="48" t="n">
        <f aca="false">IF($A149="",0,YEAR($A149))</f>
        <v>0</v>
      </c>
      <c r="K149" s="43" t="str">
        <f aca="false">IF($A149="","",INDEX(Monate,MONTH($A149)))</f>
        <v/>
      </c>
      <c r="L149" s="48" t="n">
        <f aca="false">IF($A149="",0,WEEKNUM($A149,2))</f>
        <v>0</v>
      </c>
    </row>
    <row r="150" customFormat="false" ht="15" hidden="false" customHeight="false" outlineLevel="0" collapsed="false">
      <c r="A150" s="35"/>
      <c r="B150" s="36"/>
      <c r="C150" s="36"/>
      <c r="D150" s="36"/>
      <c r="E150" s="37"/>
      <c r="F150" s="37"/>
      <c r="G150" s="38"/>
      <c r="H150" s="39" t="n">
        <f aca="false">IF(OR($E150="",$F150=""),0,ROUND(MOD($F150-$E150,1)*24-N($G150)/60,2))</f>
        <v>0</v>
      </c>
      <c r="I150" s="40"/>
      <c r="J150" s="41" t="n">
        <f aca="false">IF($A150="",0,YEAR($A150))</f>
        <v>0</v>
      </c>
      <c r="K150" s="36" t="str">
        <f aca="false">IF($A150="","",INDEX(Monate,MONTH($A150)))</f>
        <v/>
      </c>
      <c r="L150" s="41" t="n">
        <f aca="false">IF($A150="",0,WEEKNUM($A150,2))</f>
        <v>0</v>
      </c>
    </row>
    <row r="151" customFormat="false" ht="15" hidden="false" customHeight="false" outlineLevel="0" collapsed="false">
      <c r="A151" s="42"/>
      <c r="B151" s="43"/>
      <c r="C151" s="43"/>
      <c r="D151" s="43"/>
      <c r="E151" s="44"/>
      <c r="F151" s="44"/>
      <c r="G151" s="45"/>
      <c r="H151" s="46" t="n">
        <f aca="false">IF(OR($E151="",$F151=""),0,ROUND(MOD($F151-$E151,1)*24-N($G151)/60,2))</f>
        <v>0</v>
      </c>
      <c r="I151" s="47"/>
      <c r="J151" s="48" t="n">
        <f aca="false">IF($A151="",0,YEAR($A151))</f>
        <v>0</v>
      </c>
      <c r="K151" s="43" t="str">
        <f aca="false">IF($A151="","",INDEX(Monate,MONTH($A151)))</f>
        <v/>
      </c>
      <c r="L151" s="48" t="n">
        <f aca="false">IF($A151="",0,WEEKNUM($A151,2))</f>
        <v>0</v>
      </c>
    </row>
    <row r="152" customFormat="false" ht="15" hidden="false" customHeight="false" outlineLevel="0" collapsed="false">
      <c r="A152" s="35"/>
      <c r="B152" s="36"/>
      <c r="C152" s="36"/>
      <c r="D152" s="36"/>
      <c r="E152" s="37"/>
      <c r="F152" s="37"/>
      <c r="G152" s="38"/>
      <c r="H152" s="39" t="n">
        <f aca="false">IF(OR($E152="",$F152=""),0,ROUND(MOD($F152-$E152,1)*24-N($G152)/60,2))</f>
        <v>0</v>
      </c>
      <c r="I152" s="40"/>
      <c r="J152" s="41" t="n">
        <f aca="false">IF($A152="",0,YEAR($A152))</f>
        <v>0</v>
      </c>
      <c r="K152" s="36" t="str">
        <f aca="false">IF($A152="","",INDEX(Monate,MONTH($A152)))</f>
        <v/>
      </c>
      <c r="L152" s="41" t="n">
        <f aca="false">IF($A152="",0,WEEKNUM($A152,2))</f>
        <v>0</v>
      </c>
    </row>
    <row r="153" customFormat="false" ht="15" hidden="false" customHeight="false" outlineLevel="0" collapsed="false">
      <c r="A153" s="42"/>
      <c r="B153" s="43"/>
      <c r="C153" s="43"/>
      <c r="D153" s="43"/>
      <c r="E153" s="44"/>
      <c r="F153" s="44"/>
      <c r="G153" s="45"/>
      <c r="H153" s="46" t="n">
        <f aca="false">IF(OR($E153="",$F153=""),0,ROUND(MOD($F153-$E153,1)*24-N($G153)/60,2))</f>
        <v>0</v>
      </c>
      <c r="I153" s="47"/>
      <c r="J153" s="48" t="n">
        <f aca="false">IF($A153="",0,YEAR($A153))</f>
        <v>0</v>
      </c>
      <c r="K153" s="43" t="str">
        <f aca="false">IF($A153="","",INDEX(Monate,MONTH($A153)))</f>
        <v/>
      </c>
      <c r="L153" s="48" t="n">
        <f aca="false">IF($A153="",0,WEEKNUM($A153,2))</f>
        <v>0</v>
      </c>
    </row>
    <row r="154" customFormat="false" ht="15" hidden="false" customHeight="false" outlineLevel="0" collapsed="false">
      <c r="A154" s="35"/>
      <c r="B154" s="36"/>
      <c r="C154" s="36"/>
      <c r="D154" s="36"/>
      <c r="E154" s="37"/>
      <c r="F154" s="37"/>
      <c r="G154" s="38"/>
      <c r="H154" s="39" t="n">
        <f aca="false">IF(OR($E154="",$F154=""),0,ROUND(MOD($F154-$E154,1)*24-N($G154)/60,2))</f>
        <v>0</v>
      </c>
      <c r="I154" s="40"/>
      <c r="J154" s="41" t="n">
        <f aca="false">IF($A154="",0,YEAR($A154))</f>
        <v>0</v>
      </c>
      <c r="K154" s="36" t="str">
        <f aca="false">IF($A154="","",INDEX(Monate,MONTH($A154)))</f>
        <v/>
      </c>
      <c r="L154" s="41" t="n">
        <f aca="false">IF($A154="",0,WEEKNUM($A154,2))</f>
        <v>0</v>
      </c>
    </row>
    <row r="155" customFormat="false" ht="15" hidden="false" customHeight="false" outlineLevel="0" collapsed="false">
      <c r="A155" s="42"/>
      <c r="B155" s="43"/>
      <c r="C155" s="43"/>
      <c r="D155" s="43"/>
      <c r="E155" s="44"/>
      <c r="F155" s="44"/>
      <c r="G155" s="45"/>
      <c r="H155" s="46" t="n">
        <f aca="false">IF(OR($E155="",$F155=""),0,ROUND(MOD($F155-$E155,1)*24-N($G155)/60,2))</f>
        <v>0</v>
      </c>
      <c r="I155" s="47"/>
      <c r="J155" s="48" t="n">
        <f aca="false">IF($A155="",0,YEAR($A155))</f>
        <v>0</v>
      </c>
      <c r="K155" s="43" t="str">
        <f aca="false">IF($A155="","",INDEX(Monate,MONTH($A155)))</f>
        <v/>
      </c>
      <c r="L155" s="48" t="n">
        <f aca="false">IF($A155="",0,WEEKNUM($A155,2))</f>
        <v>0</v>
      </c>
    </row>
    <row r="156" customFormat="false" ht="15" hidden="false" customHeight="false" outlineLevel="0" collapsed="false">
      <c r="A156" s="35"/>
      <c r="B156" s="36"/>
      <c r="C156" s="36"/>
      <c r="D156" s="36"/>
      <c r="E156" s="37"/>
      <c r="F156" s="37"/>
      <c r="G156" s="38"/>
      <c r="H156" s="39" t="n">
        <f aca="false">IF(OR($E156="",$F156=""),0,ROUND(MOD($F156-$E156,1)*24-N($G156)/60,2))</f>
        <v>0</v>
      </c>
      <c r="I156" s="40"/>
      <c r="J156" s="41" t="n">
        <f aca="false">IF($A156="",0,YEAR($A156))</f>
        <v>0</v>
      </c>
      <c r="K156" s="36" t="str">
        <f aca="false">IF($A156="","",INDEX(Monate,MONTH($A156)))</f>
        <v/>
      </c>
      <c r="L156" s="41" t="n">
        <f aca="false">IF($A156="",0,WEEKNUM($A156,2))</f>
        <v>0</v>
      </c>
    </row>
    <row r="157" customFormat="false" ht="15" hidden="false" customHeight="false" outlineLevel="0" collapsed="false">
      <c r="A157" s="42"/>
      <c r="B157" s="43"/>
      <c r="C157" s="43"/>
      <c r="D157" s="43"/>
      <c r="E157" s="44"/>
      <c r="F157" s="44"/>
      <c r="G157" s="45"/>
      <c r="H157" s="46" t="n">
        <f aca="false">IF(OR($E157="",$F157=""),0,ROUND(MOD($F157-$E157,1)*24-N($G157)/60,2))</f>
        <v>0</v>
      </c>
      <c r="I157" s="47"/>
      <c r="J157" s="48" t="n">
        <f aca="false">IF($A157="",0,YEAR($A157))</f>
        <v>0</v>
      </c>
      <c r="K157" s="43" t="str">
        <f aca="false">IF($A157="","",INDEX(Monate,MONTH($A157)))</f>
        <v/>
      </c>
      <c r="L157" s="48" t="n">
        <f aca="false">IF($A157="",0,WEEKNUM($A157,2))</f>
        <v>0</v>
      </c>
    </row>
    <row r="158" customFormat="false" ht="15" hidden="false" customHeight="false" outlineLevel="0" collapsed="false">
      <c r="A158" s="35"/>
      <c r="B158" s="36"/>
      <c r="C158" s="36"/>
      <c r="D158" s="36"/>
      <c r="E158" s="37"/>
      <c r="F158" s="37"/>
      <c r="G158" s="38"/>
      <c r="H158" s="39" t="n">
        <f aca="false">IF(OR($E158="",$F158=""),0,ROUND(MOD($F158-$E158,1)*24-N($G158)/60,2))</f>
        <v>0</v>
      </c>
      <c r="I158" s="40"/>
      <c r="J158" s="41" t="n">
        <f aca="false">IF($A158="",0,YEAR($A158))</f>
        <v>0</v>
      </c>
      <c r="K158" s="36" t="str">
        <f aca="false">IF($A158="","",INDEX(Monate,MONTH($A158)))</f>
        <v/>
      </c>
      <c r="L158" s="41" t="n">
        <f aca="false">IF($A158="",0,WEEKNUM($A158,2))</f>
        <v>0</v>
      </c>
    </row>
    <row r="159" customFormat="false" ht="15" hidden="false" customHeight="false" outlineLevel="0" collapsed="false">
      <c r="A159" s="42"/>
      <c r="B159" s="43"/>
      <c r="C159" s="43"/>
      <c r="D159" s="43"/>
      <c r="E159" s="44"/>
      <c r="F159" s="44"/>
      <c r="G159" s="45"/>
      <c r="H159" s="46" t="n">
        <f aca="false">IF(OR($E159="",$F159=""),0,ROUND(MOD($F159-$E159,1)*24-N($G159)/60,2))</f>
        <v>0</v>
      </c>
      <c r="I159" s="47"/>
      <c r="J159" s="48" t="n">
        <f aca="false">IF($A159="",0,YEAR($A159))</f>
        <v>0</v>
      </c>
      <c r="K159" s="43" t="str">
        <f aca="false">IF($A159="","",INDEX(Monate,MONTH($A159)))</f>
        <v/>
      </c>
      <c r="L159" s="48" t="n">
        <f aca="false">IF($A159="",0,WEEKNUM($A159,2))</f>
        <v>0</v>
      </c>
    </row>
    <row r="160" customFormat="false" ht="15" hidden="false" customHeight="false" outlineLevel="0" collapsed="false">
      <c r="A160" s="35"/>
      <c r="B160" s="36"/>
      <c r="C160" s="36"/>
      <c r="D160" s="36"/>
      <c r="E160" s="37"/>
      <c r="F160" s="37"/>
      <c r="G160" s="38"/>
      <c r="H160" s="39" t="n">
        <f aca="false">IF(OR($E160="",$F160=""),0,ROUND(MOD($F160-$E160,1)*24-N($G160)/60,2))</f>
        <v>0</v>
      </c>
      <c r="I160" s="40"/>
      <c r="J160" s="41" t="n">
        <f aca="false">IF($A160="",0,YEAR($A160))</f>
        <v>0</v>
      </c>
      <c r="K160" s="36" t="str">
        <f aca="false">IF($A160="","",INDEX(Monate,MONTH($A160)))</f>
        <v/>
      </c>
      <c r="L160" s="41" t="n">
        <f aca="false">IF($A160="",0,WEEKNUM($A160,2))</f>
        <v>0</v>
      </c>
    </row>
    <row r="161" customFormat="false" ht="15" hidden="false" customHeight="false" outlineLevel="0" collapsed="false">
      <c r="A161" s="42"/>
      <c r="B161" s="43"/>
      <c r="C161" s="43"/>
      <c r="D161" s="43"/>
      <c r="E161" s="44"/>
      <c r="F161" s="44"/>
      <c r="G161" s="45"/>
      <c r="H161" s="46" t="n">
        <f aca="false">IF(OR($E161="",$F161=""),0,ROUND(MOD($F161-$E161,1)*24-N($G161)/60,2))</f>
        <v>0</v>
      </c>
      <c r="I161" s="47"/>
      <c r="J161" s="48" t="n">
        <f aca="false">IF($A161="",0,YEAR($A161))</f>
        <v>0</v>
      </c>
      <c r="K161" s="43" t="str">
        <f aca="false">IF($A161="","",INDEX(Monate,MONTH($A161)))</f>
        <v/>
      </c>
      <c r="L161" s="48" t="n">
        <f aca="false">IF($A161="",0,WEEKNUM($A161,2))</f>
        <v>0</v>
      </c>
    </row>
    <row r="162" customFormat="false" ht="15" hidden="false" customHeight="false" outlineLevel="0" collapsed="false">
      <c r="A162" s="35"/>
      <c r="B162" s="36"/>
      <c r="C162" s="36"/>
      <c r="D162" s="36"/>
      <c r="E162" s="37"/>
      <c r="F162" s="37"/>
      <c r="G162" s="38"/>
      <c r="H162" s="39" t="n">
        <f aca="false">IF(OR($E162="",$F162=""),0,ROUND(MOD($F162-$E162,1)*24-N($G162)/60,2))</f>
        <v>0</v>
      </c>
      <c r="I162" s="40"/>
      <c r="J162" s="41" t="n">
        <f aca="false">IF($A162="",0,YEAR($A162))</f>
        <v>0</v>
      </c>
      <c r="K162" s="36" t="str">
        <f aca="false">IF($A162="","",INDEX(Monate,MONTH($A162)))</f>
        <v/>
      </c>
      <c r="L162" s="41" t="n">
        <f aca="false">IF($A162="",0,WEEKNUM($A162,2))</f>
        <v>0</v>
      </c>
    </row>
    <row r="163" customFormat="false" ht="15" hidden="false" customHeight="false" outlineLevel="0" collapsed="false">
      <c r="A163" s="42"/>
      <c r="B163" s="43"/>
      <c r="C163" s="43"/>
      <c r="D163" s="43"/>
      <c r="E163" s="44"/>
      <c r="F163" s="44"/>
      <c r="G163" s="45"/>
      <c r="H163" s="46" t="n">
        <f aca="false">IF(OR($E163="",$F163=""),0,ROUND(MOD($F163-$E163,1)*24-N($G163)/60,2))</f>
        <v>0</v>
      </c>
      <c r="I163" s="47"/>
      <c r="J163" s="48" t="n">
        <f aca="false">IF($A163="",0,YEAR($A163))</f>
        <v>0</v>
      </c>
      <c r="K163" s="43" t="str">
        <f aca="false">IF($A163="","",INDEX(Monate,MONTH($A163)))</f>
        <v/>
      </c>
      <c r="L163" s="48" t="n">
        <f aca="false">IF($A163="",0,WEEKNUM($A163,2))</f>
        <v>0</v>
      </c>
    </row>
    <row r="164" customFormat="false" ht="15" hidden="false" customHeight="false" outlineLevel="0" collapsed="false">
      <c r="A164" s="35"/>
      <c r="B164" s="36"/>
      <c r="C164" s="36"/>
      <c r="D164" s="36"/>
      <c r="E164" s="37"/>
      <c r="F164" s="37"/>
      <c r="G164" s="38"/>
      <c r="H164" s="39" t="n">
        <f aca="false">IF(OR($E164="",$F164=""),0,ROUND(MOD($F164-$E164,1)*24-N($G164)/60,2))</f>
        <v>0</v>
      </c>
      <c r="I164" s="40"/>
      <c r="J164" s="41" t="n">
        <f aca="false">IF($A164="",0,YEAR($A164))</f>
        <v>0</v>
      </c>
      <c r="K164" s="36" t="str">
        <f aca="false">IF($A164="","",INDEX(Monate,MONTH($A164)))</f>
        <v/>
      </c>
      <c r="L164" s="41" t="n">
        <f aca="false">IF($A164="",0,WEEKNUM($A164,2))</f>
        <v>0</v>
      </c>
    </row>
    <row r="165" customFormat="false" ht="15" hidden="false" customHeight="false" outlineLevel="0" collapsed="false">
      <c r="A165" s="42"/>
      <c r="B165" s="43"/>
      <c r="C165" s="43"/>
      <c r="D165" s="43"/>
      <c r="E165" s="44"/>
      <c r="F165" s="44"/>
      <c r="G165" s="45"/>
      <c r="H165" s="46" t="n">
        <f aca="false">IF(OR($E165="",$F165=""),0,ROUND(MOD($F165-$E165,1)*24-N($G165)/60,2))</f>
        <v>0</v>
      </c>
      <c r="I165" s="47"/>
      <c r="J165" s="48" t="n">
        <f aca="false">IF($A165="",0,YEAR($A165))</f>
        <v>0</v>
      </c>
      <c r="K165" s="43" t="str">
        <f aca="false">IF($A165="","",INDEX(Monate,MONTH($A165)))</f>
        <v/>
      </c>
      <c r="L165" s="48" t="n">
        <f aca="false">IF($A165="",0,WEEKNUM($A165,2))</f>
        <v>0</v>
      </c>
    </row>
    <row r="166" customFormat="false" ht="15" hidden="false" customHeight="false" outlineLevel="0" collapsed="false">
      <c r="A166" s="35"/>
      <c r="B166" s="36"/>
      <c r="C166" s="36"/>
      <c r="D166" s="36"/>
      <c r="E166" s="37"/>
      <c r="F166" s="37"/>
      <c r="G166" s="38"/>
      <c r="H166" s="39" t="n">
        <f aca="false">IF(OR($E166="",$F166=""),0,ROUND(MOD($F166-$E166,1)*24-N($G166)/60,2))</f>
        <v>0</v>
      </c>
      <c r="I166" s="40"/>
      <c r="J166" s="41" t="n">
        <f aca="false">IF($A166="",0,YEAR($A166))</f>
        <v>0</v>
      </c>
      <c r="K166" s="36" t="str">
        <f aca="false">IF($A166="","",INDEX(Monate,MONTH($A166)))</f>
        <v/>
      </c>
      <c r="L166" s="41" t="n">
        <f aca="false">IF($A166="",0,WEEKNUM($A166,2))</f>
        <v>0</v>
      </c>
    </row>
    <row r="167" customFormat="false" ht="15" hidden="false" customHeight="false" outlineLevel="0" collapsed="false">
      <c r="A167" s="42"/>
      <c r="B167" s="43"/>
      <c r="C167" s="43"/>
      <c r="D167" s="43"/>
      <c r="E167" s="44"/>
      <c r="F167" s="44"/>
      <c r="G167" s="45"/>
      <c r="H167" s="46" t="n">
        <f aca="false">IF(OR($E167="",$F167=""),0,ROUND(MOD($F167-$E167,1)*24-N($G167)/60,2))</f>
        <v>0</v>
      </c>
      <c r="I167" s="47"/>
      <c r="J167" s="48" t="n">
        <f aca="false">IF($A167="",0,YEAR($A167))</f>
        <v>0</v>
      </c>
      <c r="K167" s="43" t="str">
        <f aca="false">IF($A167="","",INDEX(Monate,MONTH($A167)))</f>
        <v/>
      </c>
      <c r="L167" s="48" t="n">
        <f aca="false">IF($A167="",0,WEEKNUM($A167,2))</f>
        <v>0</v>
      </c>
    </row>
    <row r="168" customFormat="false" ht="15" hidden="false" customHeight="false" outlineLevel="0" collapsed="false">
      <c r="A168" s="35"/>
      <c r="B168" s="36"/>
      <c r="C168" s="36"/>
      <c r="D168" s="36"/>
      <c r="E168" s="37"/>
      <c r="F168" s="37"/>
      <c r="G168" s="38"/>
      <c r="H168" s="39" t="n">
        <f aca="false">IF(OR($E168="",$F168=""),0,ROUND(MOD($F168-$E168,1)*24-N($G168)/60,2))</f>
        <v>0</v>
      </c>
      <c r="I168" s="40"/>
      <c r="J168" s="41" t="n">
        <f aca="false">IF($A168="",0,YEAR($A168))</f>
        <v>0</v>
      </c>
      <c r="K168" s="36" t="str">
        <f aca="false">IF($A168="","",INDEX(Monate,MONTH($A168)))</f>
        <v/>
      </c>
      <c r="L168" s="41" t="n">
        <f aca="false">IF($A168="",0,WEEKNUM($A168,2))</f>
        <v>0</v>
      </c>
    </row>
    <row r="169" customFormat="false" ht="15" hidden="false" customHeight="false" outlineLevel="0" collapsed="false">
      <c r="A169" s="42"/>
      <c r="B169" s="43"/>
      <c r="C169" s="43"/>
      <c r="D169" s="43"/>
      <c r="E169" s="44"/>
      <c r="F169" s="44"/>
      <c r="G169" s="45"/>
      <c r="H169" s="46" t="n">
        <f aca="false">IF(OR($E169="",$F169=""),0,ROUND(MOD($F169-$E169,1)*24-N($G169)/60,2))</f>
        <v>0</v>
      </c>
      <c r="I169" s="47"/>
      <c r="J169" s="48" t="n">
        <f aca="false">IF($A169="",0,YEAR($A169))</f>
        <v>0</v>
      </c>
      <c r="K169" s="43" t="str">
        <f aca="false">IF($A169="","",INDEX(Monate,MONTH($A169)))</f>
        <v/>
      </c>
      <c r="L169" s="48" t="n">
        <f aca="false">IF($A169="",0,WEEKNUM($A169,2))</f>
        <v>0</v>
      </c>
    </row>
    <row r="170" customFormat="false" ht="15" hidden="false" customHeight="false" outlineLevel="0" collapsed="false">
      <c r="A170" s="35"/>
      <c r="B170" s="36"/>
      <c r="C170" s="36"/>
      <c r="D170" s="36"/>
      <c r="E170" s="37"/>
      <c r="F170" s="37"/>
      <c r="G170" s="38"/>
      <c r="H170" s="39" t="n">
        <f aca="false">IF(OR($E170="",$F170=""),0,ROUND(MOD($F170-$E170,1)*24-N($G170)/60,2))</f>
        <v>0</v>
      </c>
      <c r="I170" s="40"/>
      <c r="J170" s="41" t="n">
        <f aca="false">IF($A170="",0,YEAR($A170))</f>
        <v>0</v>
      </c>
      <c r="K170" s="36" t="str">
        <f aca="false">IF($A170="","",INDEX(Monate,MONTH($A170)))</f>
        <v/>
      </c>
      <c r="L170" s="41" t="n">
        <f aca="false">IF($A170="",0,WEEKNUM($A170,2))</f>
        <v>0</v>
      </c>
    </row>
    <row r="171" customFormat="false" ht="15" hidden="false" customHeight="false" outlineLevel="0" collapsed="false">
      <c r="A171" s="42"/>
      <c r="B171" s="43"/>
      <c r="C171" s="43"/>
      <c r="D171" s="43"/>
      <c r="E171" s="44"/>
      <c r="F171" s="44"/>
      <c r="G171" s="45"/>
      <c r="H171" s="46" t="n">
        <f aca="false">IF(OR($E171="",$F171=""),0,ROUND(MOD($F171-$E171,1)*24-N($G171)/60,2))</f>
        <v>0</v>
      </c>
      <c r="I171" s="47"/>
      <c r="J171" s="48" t="n">
        <f aca="false">IF($A171="",0,YEAR($A171))</f>
        <v>0</v>
      </c>
      <c r="K171" s="43" t="str">
        <f aca="false">IF($A171="","",INDEX(Monate,MONTH($A171)))</f>
        <v/>
      </c>
      <c r="L171" s="48" t="n">
        <f aca="false">IF($A171="",0,WEEKNUM($A171,2))</f>
        <v>0</v>
      </c>
    </row>
    <row r="172" customFormat="false" ht="15" hidden="false" customHeight="false" outlineLevel="0" collapsed="false">
      <c r="A172" s="35"/>
      <c r="B172" s="36"/>
      <c r="C172" s="36"/>
      <c r="D172" s="36"/>
      <c r="E172" s="37"/>
      <c r="F172" s="37"/>
      <c r="G172" s="38"/>
      <c r="H172" s="39" t="n">
        <f aca="false">IF(OR($E172="",$F172=""),0,ROUND(MOD($F172-$E172,1)*24-N($G172)/60,2))</f>
        <v>0</v>
      </c>
      <c r="I172" s="40"/>
      <c r="J172" s="41" t="n">
        <f aca="false">IF($A172="",0,YEAR($A172))</f>
        <v>0</v>
      </c>
      <c r="K172" s="36" t="str">
        <f aca="false">IF($A172="","",INDEX(Monate,MONTH($A172)))</f>
        <v/>
      </c>
      <c r="L172" s="41" t="n">
        <f aca="false">IF($A172="",0,WEEKNUM($A172,2))</f>
        <v>0</v>
      </c>
    </row>
    <row r="173" customFormat="false" ht="15" hidden="false" customHeight="false" outlineLevel="0" collapsed="false">
      <c r="A173" s="42"/>
      <c r="B173" s="43"/>
      <c r="C173" s="43"/>
      <c r="D173" s="43"/>
      <c r="E173" s="44"/>
      <c r="F173" s="44"/>
      <c r="G173" s="45"/>
      <c r="H173" s="46" t="n">
        <f aca="false">IF(OR($E173="",$F173=""),0,ROUND(MOD($F173-$E173,1)*24-N($G173)/60,2))</f>
        <v>0</v>
      </c>
      <c r="I173" s="47"/>
      <c r="J173" s="48" t="n">
        <f aca="false">IF($A173="",0,YEAR($A173))</f>
        <v>0</v>
      </c>
      <c r="K173" s="43" t="str">
        <f aca="false">IF($A173="","",INDEX(Monate,MONTH($A173)))</f>
        <v/>
      </c>
      <c r="L173" s="48" t="n">
        <f aca="false">IF($A173="",0,WEEKNUM($A173,2))</f>
        <v>0</v>
      </c>
    </row>
    <row r="174" customFormat="false" ht="15" hidden="false" customHeight="false" outlineLevel="0" collapsed="false">
      <c r="A174" s="35"/>
      <c r="B174" s="36"/>
      <c r="C174" s="36"/>
      <c r="D174" s="36"/>
      <c r="E174" s="37"/>
      <c r="F174" s="37"/>
      <c r="G174" s="38"/>
      <c r="H174" s="39" t="n">
        <f aca="false">IF(OR($E174="",$F174=""),0,ROUND(MOD($F174-$E174,1)*24-N($G174)/60,2))</f>
        <v>0</v>
      </c>
      <c r="I174" s="40"/>
      <c r="J174" s="41" t="n">
        <f aca="false">IF($A174="",0,YEAR($A174))</f>
        <v>0</v>
      </c>
      <c r="K174" s="36" t="str">
        <f aca="false">IF($A174="","",INDEX(Monate,MONTH($A174)))</f>
        <v/>
      </c>
      <c r="L174" s="41" t="n">
        <f aca="false">IF($A174="",0,WEEKNUM($A174,2))</f>
        <v>0</v>
      </c>
    </row>
    <row r="175" customFormat="false" ht="15" hidden="false" customHeight="false" outlineLevel="0" collapsed="false">
      <c r="A175" s="42"/>
      <c r="B175" s="43"/>
      <c r="C175" s="43"/>
      <c r="D175" s="43"/>
      <c r="E175" s="44"/>
      <c r="F175" s="44"/>
      <c r="G175" s="45"/>
      <c r="H175" s="46" t="n">
        <f aca="false">IF(OR($E175="",$F175=""),0,ROUND(MOD($F175-$E175,1)*24-N($G175)/60,2))</f>
        <v>0</v>
      </c>
      <c r="I175" s="47"/>
      <c r="J175" s="48" t="n">
        <f aca="false">IF($A175="",0,YEAR($A175))</f>
        <v>0</v>
      </c>
      <c r="K175" s="43" t="str">
        <f aca="false">IF($A175="","",INDEX(Monate,MONTH($A175)))</f>
        <v/>
      </c>
      <c r="L175" s="48" t="n">
        <f aca="false">IF($A175="",0,WEEKNUM($A175,2))</f>
        <v>0</v>
      </c>
    </row>
    <row r="176" customFormat="false" ht="15" hidden="false" customHeight="false" outlineLevel="0" collapsed="false">
      <c r="A176" s="35"/>
      <c r="B176" s="36"/>
      <c r="C176" s="36"/>
      <c r="D176" s="36"/>
      <c r="E176" s="37"/>
      <c r="F176" s="37"/>
      <c r="G176" s="38"/>
      <c r="H176" s="39" t="n">
        <f aca="false">IF(OR($E176="",$F176=""),0,ROUND(MOD($F176-$E176,1)*24-N($G176)/60,2))</f>
        <v>0</v>
      </c>
      <c r="I176" s="40"/>
      <c r="J176" s="41" t="n">
        <f aca="false">IF($A176="",0,YEAR($A176))</f>
        <v>0</v>
      </c>
      <c r="K176" s="36" t="str">
        <f aca="false">IF($A176="","",INDEX(Monate,MONTH($A176)))</f>
        <v/>
      </c>
      <c r="L176" s="41" t="n">
        <f aca="false">IF($A176="",0,WEEKNUM($A176,2))</f>
        <v>0</v>
      </c>
    </row>
    <row r="177" customFormat="false" ht="15" hidden="false" customHeight="false" outlineLevel="0" collapsed="false">
      <c r="A177" s="42"/>
      <c r="B177" s="43"/>
      <c r="C177" s="43"/>
      <c r="D177" s="43"/>
      <c r="E177" s="44"/>
      <c r="F177" s="44"/>
      <c r="G177" s="45"/>
      <c r="H177" s="46" t="n">
        <f aca="false">IF(OR($E177="",$F177=""),0,ROUND(MOD($F177-$E177,1)*24-N($G177)/60,2))</f>
        <v>0</v>
      </c>
      <c r="I177" s="47"/>
      <c r="J177" s="48" t="n">
        <f aca="false">IF($A177="",0,YEAR($A177))</f>
        <v>0</v>
      </c>
      <c r="K177" s="43" t="str">
        <f aca="false">IF($A177="","",INDEX(Monate,MONTH($A177)))</f>
        <v/>
      </c>
      <c r="L177" s="48" t="n">
        <f aca="false">IF($A177="",0,WEEKNUM($A177,2))</f>
        <v>0</v>
      </c>
    </row>
    <row r="178" customFormat="false" ht="15" hidden="false" customHeight="false" outlineLevel="0" collapsed="false">
      <c r="A178" s="35"/>
      <c r="B178" s="36"/>
      <c r="C178" s="36"/>
      <c r="D178" s="36"/>
      <c r="E178" s="37"/>
      <c r="F178" s="37"/>
      <c r="G178" s="38"/>
      <c r="H178" s="39" t="n">
        <f aca="false">IF(OR($E178="",$F178=""),0,ROUND(MOD($F178-$E178,1)*24-N($G178)/60,2))</f>
        <v>0</v>
      </c>
      <c r="I178" s="40"/>
      <c r="J178" s="41" t="n">
        <f aca="false">IF($A178="",0,YEAR($A178))</f>
        <v>0</v>
      </c>
      <c r="K178" s="36" t="str">
        <f aca="false">IF($A178="","",INDEX(Monate,MONTH($A178)))</f>
        <v/>
      </c>
      <c r="L178" s="41" t="n">
        <f aca="false">IF($A178="",0,WEEKNUM($A178,2))</f>
        <v>0</v>
      </c>
    </row>
    <row r="179" customFormat="false" ht="15" hidden="false" customHeight="false" outlineLevel="0" collapsed="false">
      <c r="A179" s="42"/>
      <c r="B179" s="43"/>
      <c r="C179" s="43"/>
      <c r="D179" s="43"/>
      <c r="E179" s="44"/>
      <c r="F179" s="44"/>
      <c r="G179" s="45"/>
      <c r="H179" s="46" t="n">
        <f aca="false">IF(OR($E179="",$F179=""),0,ROUND(MOD($F179-$E179,1)*24-N($G179)/60,2))</f>
        <v>0</v>
      </c>
      <c r="I179" s="47"/>
      <c r="J179" s="48" t="n">
        <f aca="false">IF($A179="",0,YEAR($A179))</f>
        <v>0</v>
      </c>
      <c r="K179" s="43" t="str">
        <f aca="false">IF($A179="","",INDEX(Monate,MONTH($A179)))</f>
        <v/>
      </c>
      <c r="L179" s="48" t="n">
        <f aca="false">IF($A179="",0,WEEKNUM($A179,2))</f>
        <v>0</v>
      </c>
    </row>
    <row r="180" customFormat="false" ht="15" hidden="false" customHeight="false" outlineLevel="0" collapsed="false">
      <c r="A180" s="35"/>
      <c r="B180" s="36"/>
      <c r="C180" s="36"/>
      <c r="D180" s="36"/>
      <c r="E180" s="37"/>
      <c r="F180" s="37"/>
      <c r="G180" s="38"/>
      <c r="H180" s="39" t="n">
        <f aca="false">IF(OR($E180="",$F180=""),0,ROUND(MOD($F180-$E180,1)*24-N($G180)/60,2))</f>
        <v>0</v>
      </c>
      <c r="I180" s="40"/>
      <c r="J180" s="41" t="n">
        <f aca="false">IF($A180="",0,YEAR($A180))</f>
        <v>0</v>
      </c>
      <c r="K180" s="36" t="str">
        <f aca="false">IF($A180="","",INDEX(Monate,MONTH($A180)))</f>
        <v/>
      </c>
      <c r="L180" s="41" t="n">
        <f aca="false">IF($A180="",0,WEEKNUM($A180,2))</f>
        <v>0</v>
      </c>
    </row>
    <row r="181" customFormat="false" ht="15" hidden="false" customHeight="false" outlineLevel="0" collapsed="false">
      <c r="A181" s="42"/>
      <c r="B181" s="43"/>
      <c r="C181" s="43"/>
      <c r="D181" s="43"/>
      <c r="E181" s="44"/>
      <c r="F181" s="44"/>
      <c r="G181" s="45"/>
      <c r="H181" s="46" t="n">
        <f aca="false">IF(OR($E181="",$F181=""),0,ROUND(MOD($F181-$E181,1)*24-N($G181)/60,2))</f>
        <v>0</v>
      </c>
      <c r="I181" s="47"/>
      <c r="J181" s="48" t="n">
        <f aca="false">IF($A181="",0,YEAR($A181))</f>
        <v>0</v>
      </c>
      <c r="K181" s="43" t="str">
        <f aca="false">IF($A181="","",INDEX(Monate,MONTH($A181)))</f>
        <v/>
      </c>
      <c r="L181" s="48" t="n">
        <f aca="false">IF($A181="",0,WEEKNUM($A181,2))</f>
        <v>0</v>
      </c>
    </row>
    <row r="182" customFormat="false" ht="15" hidden="false" customHeight="false" outlineLevel="0" collapsed="false">
      <c r="A182" s="35"/>
      <c r="B182" s="36"/>
      <c r="C182" s="36"/>
      <c r="D182" s="36"/>
      <c r="E182" s="37"/>
      <c r="F182" s="37"/>
      <c r="G182" s="38"/>
      <c r="H182" s="39" t="n">
        <f aca="false">IF(OR($E182="",$F182=""),0,ROUND(MOD($F182-$E182,1)*24-N($G182)/60,2))</f>
        <v>0</v>
      </c>
      <c r="I182" s="40"/>
      <c r="J182" s="41" t="n">
        <f aca="false">IF($A182="",0,YEAR($A182))</f>
        <v>0</v>
      </c>
      <c r="K182" s="36" t="str">
        <f aca="false">IF($A182="","",INDEX(Monate,MONTH($A182)))</f>
        <v/>
      </c>
      <c r="L182" s="41" t="n">
        <f aca="false">IF($A182="",0,WEEKNUM($A182,2))</f>
        <v>0</v>
      </c>
    </row>
    <row r="183" customFormat="false" ht="15" hidden="false" customHeight="false" outlineLevel="0" collapsed="false">
      <c r="A183" s="42"/>
      <c r="B183" s="43"/>
      <c r="C183" s="43"/>
      <c r="D183" s="43"/>
      <c r="E183" s="44"/>
      <c r="F183" s="44"/>
      <c r="G183" s="45"/>
      <c r="H183" s="46" t="n">
        <f aca="false">IF(OR($E183="",$F183=""),0,ROUND(MOD($F183-$E183,1)*24-N($G183)/60,2))</f>
        <v>0</v>
      </c>
      <c r="I183" s="47"/>
      <c r="J183" s="48" t="n">
        <f aca="false">IF($A183="",0,YEAR($A183))</f>
        <v>0</v>
      </c>
      <c r="K183" s="43" t="str">
        <f aca="false">IF($A183="","",INDEX(Monate,MONTH($A183)))</f>
        <v/>
      </c>
      <c r="L183" s="48" t="n">
        <f aca="false">IF($A183="",0,WEEKNUM($A183,2))</f>
        <v>0</v>
      </c>
    </row>
    <row r="184" customFormat="false" ht="15" hidden="false" customHeight="false" outlineLevel="0" collapsed="false">
      <c r="A184" s="35"/>
      <c r="B184" s="36"/>
      <c r="C184" s="36"/>
      <c r="D184" s="36"/>
      <c r="E184" s="37"/>
      <c r="F184" s="37"/>
      <c r="G184" s="38"/>
      <c r="H184" s="39" t="n">
        <f aca="false">IF(OR($E184="",$F184=""),0,ROUND(MOD($F184-$E184,1)*24-N($G184)/60,2))</f>
        <v>0</v>
      </c>
      <c r="I184" s="40"/>
      <c r="J184" s="41" t="n">
        <f aca="false">IF($A184="",0,YEAR($A184))</f>
        <v>0</v>
      </c>
      <c r="K184" s="36" t="str">
        <f aca="false">IF($A184="","",INDEX(Monate,MONTH($A184)))</f>
        <v/>
      </c>
      <c r="L184" s="41" t="n">
        <f aca="false">IF($A184="",0,WEEKNUM($A184,2))</f>
        <v>0</v>
      </c>
    </row>
    <row r="185" customFormat="false" ht="15" hidden="false" customHeight="false" outlineLevel="0" collapsed="false">
      <c r="A185" s="42"/>
      <c r="B185" s="43"/>
      <c r="C185" s="43"/>
      <c r="D185" s="43"/>
      <c r="E185" s="44"/>
      <c r="F185" s="44"/>
      <c r="G185" s="45"/>
      <c r="H185" s="46" t="n">
        <f aca="false">IF(OR($E185="",$F185=""),0,ROUND(MOD($F185-$E185,1)*24-N($G185)/60,2))</f>
        <v>0</v>
      </c>
      <c r="I185" s="47"/>
      <c r="J185" s="48" t="n">
        <f aca="false">IF($A185="",0,YEAR($A185))</f>
        <v>0</v>
      </c>
      <c r="K185" s="43" t="str">
        <f aca="false">IF($A185="","",INDEX(Monate,MONTH($A185)))</f>
        <v/>
      </c>
      <c r="L185" s="48" t="n">
        <f aca="false">IF($A185="",0,WEEKNUM($A185,2))</f>
        <v>0</v>
      </c>
    </row>
    <row r="186" customFormat="false" ht="15" hidden="false" customHeight="false" outlineLevel="0" collapsed="false">
      <c r="A186" s="35"/>
      <c r="B186" s="36"/>
      <c r="C186" s="36"/>
      <c r="D186" s="36"/>
      <c r="E186" s="37"/>
      <c r="F186" s="37"/>
      <c r="G186" s="38"/>
      <c r="H186" s="39" t="n">
        <f aca="false">IF(OR($E186="",$F186=""),0,ROUND(MOD($F186-$E186,1)*24-N($G186)/60,2))</f>
        <v>0</v>
      </c>
      <c r="I186" s="40"/>
      <c r="J186" s="41" t="n">
        <f aca="false">IF($A186="",0,YEAR($A186))</f>
        <v>0</v>
      </c>
      <c r="K186" s="36" t="str">
        <f aca="false">IF($A186="","",INDEX(Monate,MONTH($A186)))</f>
        <v/>
      </c>
      <c r="L186" s="41" t="n">
        <f aca="false">IF($A186="",0,WEEKNUM($A186,2))</f>
        <v>0</v>
      </c>
    </row>
    <row r="187" customFormat="false" ht="15" hidden="false" customHeight="false" outlineLevel="0" collapsed="false">
      <c r="A187" s="42"/>
      <c r="B187" s="43"/>
      <c r="C187" s="43"/>
      <c r="D187" s="43"/>
      <c r="E187" s="44"/>
      <c r="F187" s="44"/>
      <c r="G187" s="45"/>
      <c r="H187" s="46" t="n">
        <f aca="false">IF(OR($E187="",$F187=""),0,ROUND(MOD($F187-$E187,1)*24-N($G187)/60,2))</f>
        <v>0</v>
      </c>
      <c r="I187" s="47"/>
      <c r="J187" s="48" t="n">
        <f aca="false">IF($A187="",0,YEAR($A187))</f>
        <v>0</v>
      </c>
      <c r="K187" s="43" t="str">
        <f aca="false">IF($A187="","",INDEX(Monate,MONTH($A187)))</f>
        <v/>
      </c>
      <c r="L187" s="48" t="n">
        <f aca="false">IF($A187="",0,WEEKNUM($A187,2))</f>
        <v>0</v>
      </c>
    </row>
    <row r="188" customFormat="false" ht="15" hidden="false" customHeight="false" outlineLevel="0" collapsed="false">
      <c r="A188" s="35"/>
      <c r="B188" s="36"/>
      <c r="C188" s="36"/>
      <c r="D188" s="36"/>
      <c r="E188" s="37"/>
      <c r="F188" s="37"/>
      <c r="G188" s="38"/>
      <c r="H188" s="39" t="n">
        <f aca="false">IF(OR($E188="",$F188=""),0,ROUND(MOD($F188-$E188,1)*24-N($G188)/60,2))</f>
        <v>0</v>
      </c>
      <c r="I188" s="40"/>
      <c r="J188" s="41" t="n">
        <f aca="false">IF($A188="",0,YEAR($A188))</f>
        <v>0</v>
      </c>
      <c r="K188" s="36" t="str">
        <f aca="false">IF($A188="","",INDEX(Monate,MONTH($A188)))</f>
        <v/>
      </c>
      <c r="L188" s="41" t="n">
        <f aca="false">IF($A188="",0,WEEKNUM($A188,2))</f>
        <v>0</v>
      </c>
    </row>
    <row r="189" customFormat="false" ht="15" hidden="false" customHeight="false" outlineLevel="0" collapsed="false">
      <c r="A189" s="42"/>
      <c r="B189" s="43"/>
      <c r="C189" s="43"/>
      <c r="D189" s="43"/>
      <c r="E189" s="44"/>
      <c r="F189" s="44"/>
      <c r="G189" s="45"/>
      <c r="H189" s="46" t="n">
        <f aca="false">IF(OR($E189="",$F189=""),0,ROUND(MOD($F189-$E189,1)*24-N($G189)/60,2))</f>
        <v>0</v>
      </c>
      <c r="I189" s="47"/>
      <c r="J189" s="48" t="n">
        <f aca="false">IF($A189="",0,YEAR($A189))</f>
        <v>0</v>
      </c>
      <c r="K189" s="43" t="str">
        <f aca="false">IF($A189="","",INDEX(Monate,MONTH($A189)))</f>
        <v/>
      </c>
      <c r="L189" s="48" t="n">
        <f aca="false">IF($A189="",0,WEEKNUM($A189,2))</f>
        <v>0</v>
      </c>
    </row>
    <row r="190" customFormat="false" ht="15" hidden="false" customHeight="false" outlineLevel="0" collapsed="false">
      <c r="A190" s="35"/>
      <c r="B190" s="36"/>
      <c r="C190" s="36"/>
      <c r="D190" s="36"/>
      <c r="E190" s="37"/>
      <c r="F190" s="37"/>
      <c r="G190" s="38"/>
      <c r="H190" s="39" t="n">
        <f aca="false">IF(OR($E190="",$F190=""),0,ROUND(MOD($F190-$E190,1)*24-N($G190)/60,2))</f>
        <v>0</v>
      </c>
      <c r="I190" s="40"/>
      <c r="J190" s="41" t="n">
        <f aca="false">IF($A190="",0,YEAR($A190))</f>
        <v>0</v>
      </c>
      <c r="K190" s="36" t="str">
        <f aca="false">IF($A190="","",INDEX(Monate,MONTH($A190)))</f>
        <v/>
      </c>
      <c r="L190" s="41" t="n">
        <f aca="false">IF($A190="",0,WEEKNUM($A190,2))</f>
        <v>0</v>
      </c>
    </row>
    <row r="191" customFormat="false" ht="15" hidden="false" customHeight="false" outlineLevel="0" collapsed="false">
      <c r="A191" s="42"/>
      <c r="B191" s="43"/>
      <c r="C191" s="43"/>
      <c r="D191" s="43"/>
      <c r="E191" s="44"/>
      <c r="F191" s="44"/>
      <c r="G191" s="45"/>
      <c r="H191" s="46" t="n">
        <f aca="false">IF(OR($E191="",$F191=""),0,ROUND(MOD($F191-$E191,1)*24-N($G191)/60,2))</f>
        <v>0</v>
      </c>
      <c r="I191" s="47"/>
      <c r="J191" s="48" t="n">
        <f aca="false">IF($A191="",0,YEAR($A191))</f>
        <v>0</v>
      </c>
      <c r="K191" s="43" t="str">
        <f aca="false">IF($A191="","",INDEX(Monate,MONTH($A191)))</f>
        <v/>
      </c>
      <c r="L191" s="48" t="n">
        <f aca="false">IF($A191="",0,WEEKNUM($A191,2))</f>
        <v>0</v>
      </c>
    </row>
    <row r="192" customFormat="false" ht="15" hidden="false" customHeight="false" outlineLevel="0" collapsed="false">
      <c r="A192" s="35"/>
      <c r="B192" s="36"/>
      <c r="C192" s="36"/>
      <c r="D192" s="36"/>
      <c r="E192" s="37"/>
      <c r="F192" s="37"/>
      <c r="G192" s="38"/>
      <c r="H192" s="39" t="n">
        <f aca="false">IF(OR($E192="",$F192=""),0,ROUND(MOD($F192-$E192,1)*24-N($G192)/60,2))</f>
        <v>0</v>
      </c>
      <c r="I192" s="40"/>
      <c r="J192" s="41" t="n">
        <f aca="false">IF($A192="",0,YEAR($A192))</f>
        <v>0</v>
      </c>
      <c r="K192" s="36" t="str">
        <f aca="false">IF($A192="","",INDEX(Monate,MONTH($A192)))</f>
        <v/>
      </c>
      <c r="L192" s="41" t="n">
        <f aca="false">IF($A192="",0,WEEKNUM($A192,2))</f>
        <v>0</v>
      </c>
    </row>
    <row r="193" customFormat="false" ht="15" hidden="false" customHeight="false" outlineLevel="0" collapsed="false">
      <c r="A193" s="42"/>
      <c r="B193" s="43"/>
      <c r="C193" s="43"/>
      <c r="D193" s="43"/>
      <c r="E193" s="44"/>
      <c r="F193" s="44"/>
      <c r="G193" s="45"/>
      <c r="H193" s="46" t="n">
        <f aca="false">IF(OR($E193="",$F193=""),0,ROUND(MOD($F193-$E193,1)*24-N($G193)/60,2))</f>
        <v>0</v>
      </c>
      <c r="I193" s="47"/>
      <c r="J193" s="48" t="n">
        <f aca="false">IF($A193="",0,YEAR($A193))</f>
        <v>0</v>
      </c>
      <c r="K193" s="43" t="str">
        <f aca="false">IF($A193="","",INDEX(Monate,MONTH($A193)))</f>
        <v/>
      </c>
      <c r="L193" s="48" t="n">
        <f aca="false">IF($A193="",0,WEEKNUM($A193,2))</f>
        <v>0</v>
      </c>
    </row>
    <row r="194" customFormat="false" ht="15" hidden="false" customHeight="false" outlineLevel="0" collapsed="false">
      <c r="A194" s="35"/>
      <c r="B194" s="36"/>
      <c r="C194" s="36"/>
      <c r="D194" s="36"/>
      <c r="E194" s="37"/>
      <c r="F194" s="37"/>
      <c r="G194" s="38"/>
      <c r="H194" s="39" t="n">
        <f aca="false">IF(OR($E194="",$F194=""),0,ROUND(MOD($F194-$E194,1)*24-N($G194)/60,2))</f>
        <v>0</v>
      </c>
      <c r="I194" s="40"/>
      <c r="J194" s="41" t="n">
        <f aca="false">IF($A194="",0,YEAR($A194))</f>
        <v>0</v>
      </c>
      <c r="K194" s="36" t="str">
        <f aca="false">IF($A194="","",INDEX(Monate,MONTH($A194)))</f>
        <v/>
      </c>
      <c r="L194" s="41" t="n">
        <f aca="false">IF($A194="",0,WEEKNUM($A194,2))</f>
        <v>0</v>
      </c>
    </row>
    <row r="195" customFormat="false" ht="15" hidden="false" customHeight="false" outlineLevel="0" collapsed="false">
      <c r="A195" s="42"/>
      <c r="B195" s="43"/>
      <c r="C195" s="43"/>
      <c r="D195" s="43"/>
      <c r="E195" s="44"/>
      <c r="F195" s="44"/>
      <c r="G195" s="45"/>
      <c r="H195" s="46" t="n">
        <f aca="false">IF(OR($E195="",$F195=""),0,ROUND(MOD($F195-$E195,1)*24-N($G195)/60,2))</f>
        <v>0</v>
      </c>
      <c r="I195" s="47"/>
      <c r="J195" s="48" t="n">
        <f aca="false">IF($A195="",0,YEAR($A195))</f>
        <v>0</v>
      </c>
      <c r="K195" s="43" t="str">
        <f aca="false">IF($A195="","",INDEX(Monate,MONTH($A195)))</f>
        <v/>
      </c>
      <c r="L195" s="48" t="n">
        <f aca="false">IF($A195="",0,WEEKNUM($A195,2))</f>
        <v>0</v>
      </c>
    </row>
    <row r="196" customFormat="false" ht="15" hidden="false" customHeight="false" outlineLevel="0" collapsed="false">
      <c r="A196" s="35"/>
      <c r="B196" s="36"/>
      <c r="C196" s="36"/>
      <c r="D196" s="36"/>
      <c r="E196" s="37"/>
      <c r="F196" s="37"/>
      <c r="G196" s="38"/>
      <c r="H196" s="39" t="n">
        <f aca="false">IF(OR($E196="",$F196=""),0,ROUND(MOD($F196-$E196,1)*24-N($G196)/60,2))</f>
        <v>0</v>
      </c>
      <c r="I196" s="40"/>
      <c r="J196" s="41" t="n">
        <f aca="false">IF($A196="",0,YEAR($A196))</f>
        <v>0</v>
      </c>
      <c r="K196" s="36" t="str">
        <f aca="false">IF($A196="","",INDEX(Monate,MONTH($A196)))</f>
        <v/>
      </c>
      <c r="L196" s="41" t="n">
        <f aca="false">IF($A196="",0,WEEKNUM($A196,2))</f>
        <v>0</v>
      </c>
    </row>
    <row r="197" customFormat="false" ht="15" hidden="false" customHeight="false" outlineLevel="0" collapsed="false">
      <c r="A197" s="42"/>
      <c r="B197" s="43"/>
      <c r="C197" s="43"/>
      <c r="D197" s="43"/>
      <c r="E197" s="44"/>
      <c r="F197" s="44"/>
      <c r="G197" s="45"/>
      <c r="H197" s="46" t="n">
        <f aca="false">IF(OR($E197="",$F197=""),0,ROUND(MOD($F197-$E197,1)*24-N($G197)/60,2))</f>
        <v>0</v>
      </c>
      <c r="I197" s="47"/>
      <c r="J197" s="48" t="n">
        <f aca="false">IF($A197="",0,YEAR($A197))</f>
        <v>0</v>
      </c>
      <c r="K197" s="43" t="str">
        <f aca="false">IF($A197="","",INDEX(Monate,MONTH($A197)))</f>
        <v/>
      </c>
      <c r="L197" s="48" t="n">
        <f aca="false">IF($A197="",0,WEEKNUM($A197,2))</f>
        <v>0</v>
      </c>
    </row>
    <row r="198" customFormat="false" ht="15" hidden="false" customHeight="false" outlineLevel="0" collapsed="false">
      <c r="A198" s="35"/>
      <c r="B198" s="36"/>
      <c r="C198" s="36"/>
      <c r="D198" s="36"/>
      <c r="E198" s="37"/>
      <c r="F198" s="37"/>
      <c r="G198" s="38"/>
      <c r="H198" s="39" t="n">
        <f aca="false">IF(OR($E198="",$F198=""),0,ROUND(MOD($F198-$E198,1)*24-N($G198)/60,2))</f>
        <v>0</v>
      </c>
      <c r="I198" s="40"/>
      <c r="J198" s="41" t="n">
        <f aca="false">IF($A198="",0,YEAR($A198))</f>
        <v>0</v>
      </c>
      <c r="K198" s="36" t="str">
        <f aca="false">IF($A198="","",INDEX(Monate,MONTH($A198)))</f>
        <v/>
      </c>
      <c r="L198" s="41" t="n">
        <f aca="false">IF($A198="",0,WEEKNUM($A198,2))</f>
        <v>0</v>
      </c>
    </row>
    <row r="199" customFormat="false" ht="15" hidden="false" customHeight="false" outlineLevel="0" collapsed="false">
      <c r="A199" s="42"/>
      <c r="B199" s="43"/>
      <c r="C199" s="43"/>
      <c r="D199" s="43"/>
      <c r="E199" s="44"/>
      <c r="F199" s="44"/>
      <c r="G199" s="45"/>
      <c r="H199" s="46" t="n">
        <f aca="false">IF(OR($E199="",$F199=""),0,ROUND(MOD($F199-$E199,1)*24-N($G199)/60,2))</f>
        <v>0</v>
      </c>
      <c r="I199" s="47"/>
      <c r="J199" s="48" t="n">
        <f aca="false">IF($A199="",0,YEAR($A199))</f>
        <v>0</v>
      </c>
      <c r="K199" s="43" t="str">
        <f aca="false">IF($A199="","",INDEX(Monate,MONTH($A199)))</f>
        <v/>
      </c>
      <c r="L199" s="48" t="n">
        <f aca="false">IF($A199="",0,WEEKNUM($A199,2))</f>
        <v>0</v>
      </c>
    </row>
    <row r="200" customFormat="false" ht="15" hidden="false" customHeight="false" outlineLevel="0" collapsed="false">
      <c r="A200" s="35"/>
      <c r="B200" s="36"/>
      <c r="C200" s="36"/>
      <c r="D200" s="36"/>
      <c r="E200" s="37"/>
      <c r="F200" s="37"/>
      <c r="G200" s="38"/>
      <c r="H200" s="39" t="n">
        <f aca="false">IF(OR($E200="",$F200=""),0,ROUND(MOD($F200-$E200,1)*24-N($G200)/60,2))</f>
        <v>0</v>
      </c>
      <c r="I200" s="40"/>
      <c r="J200" s="41" t="n">
        <f aca="false">IF($A200="",0,YEAR($A200))</f>
        <v>0</v>
      </c>
      <c r="K200" s="36" t="str">
        <f aca="false">IF($A200="","",INDEX(Monate,MONTH($A200)))</f>
        <v/>
      </c>
      <c r="L200" s="41" t="n">
        <f aca="false">IF($A200="",0,WEEKNUM($A200,2))</f>
        <v>0</v>
      </c>
    </row>
    <row r="201" customFormat="false" ht="15" hidden="false" customHeight="false" outlineLevel="0" collapsed="false">
      <c r="A201" s="42"/>
      <c r="B201" s="43"/>
      <c r="C201" s="43"/>
      <c r="D201" s="43"/>
      <c r="E201" s="44"/>
      <c r="F201" s="44"/>
      <c r="G201" s="45"/>
      <c r="H201" s="46" t="n">
        <f aca="false">IF(OR($E201="",$F201=""),0,ROUND(MOD($F201-$E201,1)*24-N($G201)/60,2))</f>
        <v>0</v>
      </c>
      <c r="I201" s="47"/>
      <c r="J201" s="48" t="n">
        <f aca="false">IF($A201="",0,YEAR($A201))</f>
        <v>0</v>
      </c>
      <c r="K201" s="43" t="str">
        <f aca="false">IF($A201="","",INDEX(Monate,MONTH($A201)))</f>
        <v/>
      </c>
      <c r="L201" s="48" t="n">
        <f aca="false">IF($A201="",0,WEEKNUM($A201,2))</f>
        <v>0</v>
      </c>
    </row>
    <row r="202" customFormat="false" ht="15" hidden="false" customHeight="false" outlineLevel="0" collapsed="false">
      <c r="A202" s="35"/>
      <c r="B202" s="36"/>
      <c r="C202" s="36"/>
      <c r="D202" s="36"/>
      <c r="E202" s="37"/>
      <c r="F202" s="37"/>
      <c r="G202" s="38"/>
      <c r="H202" s="39" t="n">
        <f aca="false">IF(OR($E202="",$F202=""),0,ROUND(MOD($F202-$E202,1)*24-N($G202)/60,2))</f>
        <v>0</v>
      </c>
      <c r="I202" s="40"/>
      <c r="J202" s="41" t="n">
        <f aca="false">IF($A202="",0,YEAR($A202))</f>
        <v>0</v>
      </c>
      <c r="K202" s="36" t="str">
        <f aca="false">IF($A202="","",INDEX(Monate,MONTH($A202)))</f>
        <v/>
      </c>
      <c r="L202" s="41" t="n">
        <f aca="false">IF($A202="",0,WEEKNUM($A202,2))</f>
        <v>0</v>
      </c>
    </row>
    <row r="203" customFormat="false" ht="15" hidden="false" customHeight="false" outlineLevel="0" collapsed="false">
      <c r="A203" s="42"/>
      <c r="B203" s="43"/>
      <c r="C203" s="43"/>
      <c r="D203" s="43"/>
      <c r="E203" s="44"/>
      <c r="F203" s="44"/>
      <c r="G203" s="45"/>
      <c r="H203" s="46" t="n">
        <f aca="false">IF(OR($E203="",$F203=""),0,ROUND(MOD($F203-$E203,1)*24-N($G203)/60,2))</f>
        <v>0</v>
      </c>
      <c r="I203" s="47"/>
      <c r="J203" s="48" t="n">
        <f aca="false">IF($A203="",0,YEAR($A203))</f>
        <v>0</v>
      </c>
      <c r="K203" s="43" t="str">
        <f aca="false">IF($A203="","",INDEX(Monate,MONTH($A203)))</f>
        <v/>
      </c>
      <c r="L203" s="48" t="n">
        <f aca="false">IF($A203="",0,WEEKNUM($A203,2))</f>
        <v>0</v>
      </c>
    </row>
    <row r="204" customFormat="false" ht="15" hidden="false" customHeight="false" outlineLevel="0" collapsed="false">
      <c r="A204" s="35"/>
      <c r="B204" s="36"/>
      <c r="C204" s="36"/>
      <c r="D204" s="36"/>
      <c r="E204" s="37"/>
      <c r="F204" s="37"/>
      <c r="G204" s="38"/>
      <c r="H204" s="39" t="n">
        <f aca="false">IF(OR($E204="",$F204=""),0,ROUND(MOD($F204-$E204,1)*24-N($G204)/60,2))</f>
        <v>0</v>
      </c>
      <c r="I204" s="40"/>
      <c r="J204" s="41" t="n">
        <f aca="false">IF($A204="",0,YEAR($A204))</f>
        <v>0</v>
      </c>
      <c r="K204" s="36" t="str">
        <f aca="false">IF($A204="","",INDEX(Monate,MONTH($A204)))</f>
        <v/>
      </c>
      <c r="L204" s="41" t="n">
        <f aca="false">IF($A204="",0,WEEKNUM($A204,2))</f>
        <v>0</v>
      </c>
    </row>
    <row r="205" customFormat="false" ht="15" hidden="false" customHeight="false" outlineLevel="0" collapsed="false">
      <c r="A205" s="42"/>
      <c r="B205" s="43"/>
      <c r="C205" s="43"/>
      <c r="D205" s="43"/>
      <c r="E205" s="44"/>
      <c r="F205" s="44"/>
      <c r="G205" s="45"/>
      <c r="H205" s="46" t="n">
        <f aca="false">IF(OR($E205="",$F205=""),0,ROUND(MOD($F205-$E205,1)*24-N($G205)/60,2))</f>
        <v>0</v>
      </c>
      <c r="I205" s="47"/>
      <c r="J205" s="48" t="n">
        <f aca="false">IF($A205="",0,YEAR($A205))</f>
        <v>0</v>
      </c>
      <c r="K205" s="43" t="str">
        <f aca="false">IF($A205="","",INDEX(Monate,MONTH($A205)))</f>
        <v/>
      </c>
      <c r="L205" s="48" t="n">
        <f aca="false">IF($A205="",0,WEEKNUM($A205,2))</f>
        <v>0</v>
      </c>
    </row>
    <row r="206" customFormat="false" ht="15" hidden="false" customHeight="false" outlineLevel="0" collapsed="false">
      <c r="A206" s="35"/>
      <c r="B206" s="36"/>
      <c r="C206" s="36"/>
      <c r="D206" s="36"/>
      <c r="E206" s="37"/>
      <c r="F206" s="37"/>
      <c r="G206" s="38"/>
      <c r="H206" s="39" t="n">
        <f aca="false">IF(OR($E206="",$F206=""),0,ROUND(MOD($F206-$E206,1)*24-N($G206)/60,2))</f>
        <v>0</v>
      </c>
      <c r="I206" s="40"/>
      <c r="J206" s="41" t="n">
        <f aca="false">IF($A206="",0,YEAR($A206))</f>
        <v>0</v>
      </c>
      <c r="K206" s="36" t="str">
        <f aca="false">IF($A206="","",INDEX(Monate,MONTH($A206)))</f>
        <v/>
      </c>
      <c r="L206" s="41" t="n">
        <f aca="false">IF($A206="",0,WEEKNUM($A206,2))</f>
        <v>0</v>
      </c>
    </row>
    <row r="207" customFormat="false" ht="15" hidden="false" customHeight="false" outlineLevel="0" collapsed="false">
      <c r="A207" s="42"/>
      <c r="B207" s="43"/>
      <c r="C207" s="43"/>
      <c r="D207" s="43"/>
      <c r="E207" s="44"/>
      <c r="F207" s="44"/>
      <c r="G207" s="45"/>
      <c r="H207" s="46" t="n">
        <f aca="false">IF(OR($E207="",$F207=""),0,ROUND(MOD($F207-$E207,1)*24-N($G207)/60,2))</f>
        <v>0</v>
      </c>
      <c r="I207" s="47"/>
      <c r="J207" s="48" t="n">
        <f aca="false">IF($A207="",0,YEAR($A207))</f>
        <v>0</v>
      </c>
      <c r="K207" s="43" t="str">
        <f aca="false">IF($A207="","",INDEX(Monate,MONTH($A207)))</f>
        <v/>
      </c>
      <c r="L207" s="48" t="n">
        <f aca="false">IF($A207="",0,WEEKNUM($A207,2))</f>
        <v>0</v>
      </c>
    </row>
    <row r="208" customFormat="false" ht="15" hidden="false" customHeight="false" outlineLevel="0" collapsed="false">
      <c r="A208" s="35"/>
      <c r="B208" s="36"/>
      <c r="C208" s="36"/>
      <c r="D208" s="36"/>
      <c r="E208" s="37"/>
      <c r="F208" s="37"/>
      <c r="G208" s="38"/>
      <c r="H208" s="39" t="n">
        <f aca="false">IF(OR($E208="",$F208=""),0,ROUND(MOD($F208-$E208,1)*24-N($G208)/60,2))</f>
        <v>0</v>
      </c>
      <c r="I208" s="40"/>
      <c r="J208" s="41" t="n">
        <f aca="false">IF($A208="",0,YEAR($A208))</f>
        <v>0</v>
      </c>
      <c r="K208" s="36" t="str">
        <f aca="false">IF($A208="","",INDEX(Monate,MONTH($A208)))</f>
        <v/>
      </c>
      <c r="L208" s="41" t="n">
        <f aca="false">IF($A208="",0,WEEKNUM($A208,2))</f>
        <v>0</v>
      </c>
    </row>
    <row r="209" customFormat="false" ht="15" hidden="false" customHeight="false" outlineLevel="0" collapsed="false">
      <c r="A209" s="42"/>
      <c r="B209" s="43"/>
      <c r="C209" s="43"/>
      <c r="D209" s="43"/>
      <c r="E209" s="44"/>
      <c r="F209" s="44"/>
      <c r="G209" s="45"/>
      <c r="H209" s="46" t="n">
        <f aca="false">IF(OR($E209="",$F209=""),0,ROUND(MOD($F209-$E209,1)*24-N($G209)/60,2))</f>
        <v>0</v>
      </c>
      <c r="I209" s="47"/>
      <c r="J209" s="48" t="n">
        <f aca="false">IF($A209="",0,YEAR($A209))</f>
        <v>0</v>
      </c>
      <c r="K209" s="43" t="str">
        <f aca="false">IF($A209="","",INDEX(Monate,MONTH($A209)))</f>
        <v/>
      </c>
      <c r="L209" s="48" t="n">
        <f aca="false">IF($A209="",0,WEEKNUM($A209,2))</f>
        <v>0</v>
      </c>
    </row>
    <row r="210" customFormat="false" ht="15" hidden="false" customHeight="false" outlineLevel="0" collapsed="false">
      <c r="A210" s="35"/>
      <c r="B210" s="36"/>
      <c r="C210" s="36"/>
      <c r="D210" s="36"/>
      <c r="E210" s="37"/>
      <c r="F210" s="37"/>
      <c r="G210" s="38"/>
      <c r="H210" s="39" t="n">
        <f aca="false">IF(OR($E210="",$F210=""),0,ROUND(MOD($F210-$E210,1)*24-N($G210)/60,2))</f>
        <v>0</v>
      </c>
      <c r="I210" s="40"/>
      <c r="J210" s="41" t="n">
        <f aca="false">IF($A210="",0,YEAR($A210))</f>
        <v>0</v>
      </c>
      <c r="K210" s="36" t="str">
        <f aca="false">IF($A210="","",INDEX(Monate,MONTH($A210)))</f>
        <v/>
      </c>
      <c r="L210" s="41" t="n">
        <f aca="false">IF($A210="",0,WEEKNUM($A210,2))</f>
        <v>0</v>
      </c>
    </row>
    <row r="211" customFormat="false" ht="15" hidden="false" customHeight="false" outlineLevel="0" collapsed="false">
      <c r="A211" s="42"/>
      <c r="B211" s="43"/>
      <c r="C211" s="43"/>
      <c r="D211" s="43"/>
      <c r="E211" s="44"/>
      <c r="F211" s="44"/>
      <c r="G211" s="45"/>
      <c r="H211" s="46" t="n">
        <f aca="false">IF(OR($E211="",$F211=""),0,ROUND(MOD($F211-$E211,1)*24-N($G211)/60,2))</f>
        <v>0</v>
      </c>
      <c r="I211" s="47"/>
      <c r="J211" s="48" t="n">
        <f aca="false">IF($A211="",0,YEAR($A211))</f>
        <v>0</v>
      </c>
      <c r="K211" s="43" t="str">
        <f aca="false">IF($A211="","",INDEX(Monate,MONTH($A211)))</f>
        <v/>
      </c>
      <c r="L211" s="48" t="n">
        <f aca="false">IF($A211="",0,WEEKNUM($A211,2))</f>
        <v>0</v>
      </c>
    </row>
    <row r="212" customFormat="false" ht="15" hidden="false" customHeight="false" outlineLevel="0" collapsed="false">
      <c r="A212" s="35"/>
      <c r="B212" s="36"/>
      <c r="C212" s="36"/>
      <c r="D212" s="36"/>
      <c r="E212" s="37"/>
      <c r="F212" s="37"/>
      <c r="G212" s="38"/>
      <c r="H212" s="39" t="n">
        <f aca="false">IF(OR($E212="",$F212=""),0,ROUND(MOD($F212-$E212,1)*24-N($G212)/60,2))</f>
        <v>0</v>
      </c>
      <c r="I212" s="40"/>
      <c r="J212" s="41" t="n">
        <f aca="false">IF($A212="",0,YEAR($A212))</f>
        <v>0</v>
      </c>
      <c r="K212" s="36" t="str">
        <f aca="false">IF($A212="","",INDEX(Monate,MONTH($A212)))</f>
        <v/>
      </c>
      <c r="L212" s="41" t="n">
        <f aca="false">IF($A212="",0,WEEKNUM($A212,2))</f>
        <v>0</v>
      </c>
    </row>
    <row r="213" customFormat="false" ht="15" hidden="false" customHeight="false" outlineLevel="0" collapsed="false">
      <c r="A213" s="42"/>
      <c r="B213" s="43"/>
      <c r="C213" s="43"/>
      <c r="D213" s="43"/>
      <c r="E213" s="44"/>
      <c r="F213" s="44"/>
      <c r="G213" s="45"/>
      <c r="H213" s="46" t="n">
        <f aca="false">IF(OR($E213="",$F213=""),0,ROUND(MOD($F213-$E213,1)*24-N($G213)/60,2))</f>
        <v>0</v>
      </c>
      <c r="I213" s="47"/>
      <c r="J213" s="48" t="n">
        <f aca="false">IF($A213="",0,YEAR($A213))</f>
        <v>0</v>
      </c>
      <c r="K213" s="43" t="str">
        <f aca="false">IF($A213="","",INDEX(Monate,MONTH($A213)))</f>
        <v/>
      </c>
      <c r="L213" s="48" t="n">
        <f aca="false">IF($A213="",0,WEEKNUM($A213,2))</f>
        <v>0</v>
      </c>
    </row>
    <row r="214" customFormat="false" ht="15" hidden="false" customHeight="false" outlineLevel="0" collapsed="false">
      <c r="A214" s="35"/>
      <c r="B214" s="36"/>
      <c r="C214" s="36"/>
      <c r="D214" s="36"/>
      <c r="E214" s="37"/>
      <c r="F214" s="37"/>
      <c r="G214" s="38"/>
      <c r="H214" s="39" t="n">
        <f aca="false">IF(OR($E214="",$F214=""),0,ROUND(MOD($F214-$E214,1)*24-N($G214)/60,2))</f>
        <v>0</v>
      </c>
      <c r="I214" s="40"/>
      <c r="J214" s="41" t="n">
        <f aca="false">IF($A214="",0,YEAR($A214))</f>
        <v>0</v>
      </c>
      <c r="K214" s="36" t="str">
        <f aca="false">IF($A214="","",INDEX(Monate,MONTH($A214)))</f>
        <v/>
      </c>
      <c r="L214" s="41" t="n">
        <f aca="false">IF($A214="",0,WEEKNUM($A214,2))</f>
        <v>0</v>
      </c>
    </row>
    <row r="215" customFormat="false" ht="15" hidden="false" customHeight="false" outlineLevel="0" collapsed="false">
      <c r="A215" s="42"/>
      <c r="B215" s="43"/>
      <c r="C215" s="43"/>
      <c r="D215" s="43"/>
      <c r="E215" s="44"/>
      <c r="F215" s="44"/>
      <c r="G215" s="45"/>
      <c r="H215" s="46" t="n">
        <f aca="false">IF(OR($E215="",$F215=""),0,ROUND(MOD($F215-$E215,1)*24-N($G215)/60,2))</f>
        <v>0</v>
      </c>
      <c r="I215" s="47"/>
      <c r="J215" s="48" t="n">
        <f aca="false">IF($A215="",0,YEAR($A215))</f>
        <v>0</v>
      </c>
      <c r="K215" s="43" t="str">
        <f aca="false">IF($A215="","",INDEX(Monate,MONTH($A215)))</f>
        <v/>
      </c>
      <c r="L215" s="48" t="n">
        <f aca="false">IF($A215="",0,WEEKNUM($A215,2))</f>
        <v>0</v>
      </c>
    </row>
    <row r="216" customFormat="false" ht="15" hidden="false" customHeight="false" outlineLevel="0" collapsed="false">
      <c r="A216" s="35"/>
      <c r="B216" s="36"/>
      <c r="C216" s="36"/>
      <c r="D216" s="36"/>
      <c r="E216" s="37"/>
      <c r="F216" s="37"/>
      <c r="G216" s="38"/>
      <c r="H216" s="39" t="n">
        <f aca="false">IF(OR($E216="",$F216=""),0,ROUND(MOD($F216-$E216,1)*24-N($G216)/60,2))</f>
        <v>0</v>
      </c>
      <c r="I216" s="40"/>
      <c r="J216" s="41" t="n">
        <f aca="false">IF($A216="",0,YEAR($A216))</f>
        <v>0</v>
      </c>
      <c r="K216" s="36" t="str">
        <f aca="false">IF($A216="","",INDEX(Monate,MONTH($A216)))</f>
        <v/>
      </c>
      <c r="L216" s="41" t="n">
        <f aca="false">IF($A216="",0,WEEKNUM($A216,2))</f>
        <v>0</v>
      </c>
    </row>
    <row r="217" customFormat="false" ht="15" hidden="false" customHeight="false" outlineLevel="0" collapsed="false">
      <c r="A217" s="42"/>
      <c r="B217" s="43"/>
      <c r="C217" s="43"/>
      <c r="D217" s="43"/>
      <c r="E217" s="44"/>
      <c r="F217" s="44"/>
      <c r="G217" s="45"/>
      <c r="H217" s="46" t="n">
        <f aca="false">IF(OR($E217="",$F217=""),0,ROUND(MOD($F217-$E217,1)*24-N($G217)/60,2))</f>
        <v>0</v>
      </c>
      <c r="I217" s="47"/>
      <c r="J217" s="48" t="n">
        <f aca="false">IF($A217="",0,YEAR($A217))</f>
        <v>0</v>
      </c>
      <c r="K217" s="43" t="str">
        <f aca="false">IF($A217="","",INDEX(Monate,MONTH($A217)))</f>
        <v/>
      </c>
      <c r="L217" s="48" t="n">
        <f aca="false">IF($A217="",0,WEEKNUM($A217,2))</f>
        <v>0</v>
      </c>
    </row>
    <row r="218" customFormat="false" ht="15" hidden="false" customHeight="false" outlineLevel="0" collapsed="false">
      <c r="A218" s="35"/>
      <c r="B218" s="36"/>
      <c r="C218" s="36"/>
      <c r="D218" s="36"/>
      <c r="E218" s="37"/>
      <c r="F218" s="37"/>
      <c r="G218" s="38"/>
      <c r="H218" s="39" t="n">
        <f aca="false">IF(OR($E218="",$F218=""),0,ROUND(MOD($F218-$E218,1)*24-N($G218)/60,2))</f>
        <v>0</v>
      </c>
      <c r="I218" s="40"/>
      <c r="J218" s="41" t="n">
        <f aca="false">IF($A218="",0,YEAR($A218))</f>
        <v>0</v>
      </c>
      <c r="K218" s="36" t="str">
        <f aca="false">IF($A218="","",INDEX(Monate,MONTH($A218)))</f>
        <v/>
      </c>
      <c r="L218" s="41" t="n">
        <f aca="false">IF($A218="",0,WEEKNUM($A218,2))</f>
        <v>0</v>
      </c>
    </row>
    <row r="219" customFormat="false" ht="15" hidden="false" customHeight="false" outlineLevel="0" collapsed="false">
      <c r="A219" s="42"/>
      <c r="B219" s="43"/>
      <c r="C219" s="43"/>
      <c r="D219" s="43"/>
      <c r="E219" s="44"/>
      <c r="F219" s="44"/>
      <c r="G219" s="45"/>
      <c r="H219" s="46" t="n">
        <f aca="false">IF(OR($E219="",$F219=""),0,ROUND(MOD($F219-$E219,1)*24-N($G219)/60,2))</f>
        <v>0</v>
      </c>
      <c r="I219" s="47"/>
      <c r="J219" s="48" t="n">
        <f aca="false">IF($A219="",0,YEAR($A219))</f>
        <v>0</v>
      </c>
      <c r="K219" s="43" t="str">
        <f aca="false">IF($A219="","",INDEX(Monate,MONTH($A219)))</f>
        <v/>
      </c>
      <c r="L219" s="48" t="n">
        <f aca="false">IF($A219="",0,WEEKNUM($A219,2))</f>
        <v>0</v>
      </c>
    </row>
    <row r="220" customFormat="false" ht="15" hidden="false" customHeight="false" outlineLevel="0" collapsed="false">
      <c r="A220" s="35"/>
      <c r="B220" s="36"/>
      <c r="C220" s="36"/>
      <c r="D220" s="36"/>
      <c r="E220" s="37"/>
      <c r="F220" s="37"/>
      <c r="G220" s="38"/>
      <c r="H220" s="39" t="n">
        <f aca="false">IF(OR($E220="",$F220=""),0,ROUND(MOD($F220-$E220,1)*24-N($G220)/60,2))</f>
        <v>0</v>
      </c>
      <c r="I220" s="40"/>
      <c r="J220" s="41" t="n">
        <f aca="false">IF($A220="",0,YEAR($A220))</f>
        <v>0</v>
      </c>
      <c r="K220" s="36" t="str">
        <f aca="false">IF($A220="","",INDEX(Monate,MONTH($A220)))</f>
        <v/>
      </c>
      <c r="L220" s="41" t="n">
        <f aca="false">IF($A220="",0,WEEKNUM($A220,2))</f>
        <v>0</v>
      </c>
    </row>
    <row r="221" customFormat="false" ht="15" hidden="false" customHeight="false" outlineLevel="0" collapsed="false">
      <c r="A221" s="42"/>
      <c r="B221" s="43"/>
      <c r="C221" s="43"/>
      <c r="D221" s="43"/>
      <c r="E221" s="44"/>
      <c r="F221" s="44"/>
      <c r="G221" s="45"/>
      <c r="H221" s="46" t="n">
        <f aca="false">IF(OR($E221="",$F221=""),0,ROUND(MOD($F221-$E221,1)*24-N($G221)/60,2))</f>
        <v>0</v>
      </c>
      <c r="I221" s="47"/>
      <c r="J221" s="48" t="n">
        <f aca="false">IF($A221="",0,YEAR($A221))</f>
        <v>0</v>
      </c>
      <c r="K221" s="43" t="str">
        <f aca="false">IF($A221="","",INDEX(Monate,MONTH($A221)))</f>
        <v/>
      </c>
      <c r="L221" s="48" t="n">
        <f aca="false">IF($A221="",0,WEEKNUM($A221,2))</f>
        <v>0</v>
      </c>
    </row>
    <row r="222" customFormat="false" ht="15" hidden="false" customHeight="false" outlineLevel="0" collapsed="false">
      <c r="A222" s="35"/>
      <c r="B222" s="36"/>
      <c r="C222" s="36"/>
      <c r="D222" s="36"/>
      <c r="E222" s="37"/>
      <c r="F222" s="37"/>
      <c r="G222" s="38"/>
      <c r="H222" s="39" t="n">
        <f aca="false">IF(OR($E222="",$F222=""),0,ROUND(MOD($F222-$E222,1)*24-N($G222)/60,2))</f>
        <v>0</v>
      </c>
      <c r="I222" s="40"/>
      <c r="J222" s="41" t="n">
        <f aca="false">IF($A222="",0,YEAR($A222))</f>
        <v>0</v>
      </c>
      <c r="K222" s="36" t="str">
        <f aca="false">IF($A222="","",INDEX(Monate,MONTH($A222)))</f>
        <v/>
      </c>
      <c r="L222" s="41" t="n">
        <f aca="false">IF($A222="",0,WEEKNUM($A222,2))</f>
        <v>0</v>
      </c>
    </row>
    <row r="223" customFormat="false" ht="15" hidden="false" customHeight="false" outlineLevel="0" collapsed="false">
      <c r="A223" s="42"/>
      <c r="B223" s="43"/>
      <c r="C223" s="43"/>
      <c r="D223" s="43"/>
      <c r="E223" s="44"/>
      <c r="F223" s="44"/>
      <c r="G223" s="45"/>
      <c r="H223" s="46" t="n">
        <f aca="false">IF(OR($E223="",$F223=""),0,ROUND(MOD($F223-$E223,1)*24-N($G223)/60,2))</f>
        <v>0</v>
      </c>
      <c r="I223" s="47"/>
      <c r="J223" s="48" t="n">
        <f aca="false">IF($A223="",0,YEAR($A223))</f>
        <v>0</v>
      </c>
      <c r="K223" s="43" t="str">
        <f aca="false">IF($A223="","",INDEX(Monate,MONTH($A223)))</f>
        <v/>
      </c>
      <c r="L223" s="48" t="n">
        <f aca="false">IF($A223="",0,WEEKNUM($A223,2))</f>
        <v>0</v>
      </c>
    </row>
    <row r="224" customFormat="false" ht="15" hidden="false" customHeight="false" outlineLevel="0" collapsed="false">
      <c r="A224" s="35"/>
      <c r="B224" s="36"/>
      <c r="C224" s="36"/>
      <c r="D224" s="36"/>
      <c r="E224" s="37"/>
      <c r="F224" s="37"/>
      <c r="G224" s="38"/>
      <c r="H224" s="39" t="n">
        <f aca="false">IF(OR($E224="",$F224=""),0,ROUND(MOD($F224-$E224,1)*24-N($G224)/60,2))</f>
        <v>0</v>
      </c>
      <c r="I224" s="40"/>
      <c r="J224" s="41" t="n">
        <f aca="false">IF($A224="",0,YEAR($A224))</f>
        <v>0</v>
      </c>
      <c r="K224" s="36" t="str">
        <f aca="false">IF($A224="","",INDEX(Monate,MONTH($A224)))</f>
        <v/>
      </c>
      <c r="L224" s="41" t="n">
        <f aca="false">IF($A224="",0,WEEKNUM($A224,2))</f>
        <v>0</v>
      </c>
    </row>
    <row r="225" customFormat="false" ht="15" hidden="false" customHeight="false" outlineLevel="0" collapsed="false">
      <c r="A225" s="42"/>
      <c r="B225" s="43"/>
      <c r="C225" s="43"/>
      <c r="D225" s="43"/>
      <c r="E225" s="44"/>
      <c r="F225" s="44"/>
      <c r="G225" s="45"/>
      <c r="H225" s="46" t="n">
        <f aca="false">IF(OR($E225="",$F225=""),0,ROUND(MOD($F225-$E225,1)*24-N($G225)/60,2))</f>
        <v>0</v>
      </c>
      <c r="I225" s="47"/>
      <c r="J225" s="48" t="n">
        <f aca="false">IF($A225="",0,YEAR($A225))</f>
        <v>0</v>
      </c>
      <c r="K225" s="43" t="str">
        <f aca="false">IF($A225="","",INDEX(Monate,MONTH($A225)))</f>
        <v/>
      </c>
      <c r="L225" s="48" t="n">
        <f aca="false">IF($A225="",0,WEEKNUM($A225,2))</f>
        <v>0</v>
      </c>
    </row>
    <row r="226" customFormat="false" ht="15" hidden="false" customHeight="false" outlineLevel="0" collapsed="false">
      <c r="A226" s="35"/>
      <c r="B226" s="36"/>
      <c r="C226" s="36"/>
      <c r="D226" s="36"/>
      <c r="E226" s="37"/>
      <c r="F226" s="37"/>
      <c r="G226" s="38"/>
      <c r="H226" s="39" t="n">
        <f aca="false">IF(OR($E226="",$F226=""),0,ROUND(MOD($F226-$E226,1)*24-N($G226)/60,2))</f>
        <v>0</v>
      </c>
      <c r="I226" s="40"/>
      <c r="J226" s="41" t="n">
        <f aca="false">IF($A226="",0,YEAR($A226))</f>
        <v>0</v>
      </c>
      <c r="K226" s="36" t="str">
        <f aca="false">IF($A226="","",INDEX(Monate,MONTH($A226)))</f>
        <v/>
      </c>
      <c r="L226" s="41" t="n">
        <f aca="false">IF($A226="",0,WEEKNUM($A226,2))</f>
        <v>0</v>
      </c>
    </row>
    <row r="227" customFormat="false" ht="15" hidden="false" customHeight="false" outlineLevel="0" collapsed="false">
      <c r="A227" s="42"/>
      <c r="B227" s="43"/>
      <c r="C227" s="43"/>
      <c r="D227" s="43"/>
      <c r="E227" s="44"/>
      <c r="F227" s="44"/>
      <c r="G227" s="45"/>
      <c r="H227" s="46" t="n">
        <f aca="false">IF(OR($E227="",$F227=""),0,ROUND(MOD($F227-$E227,1)*24-N($G227)/60,2))</f>
        <v>0</v>
      </c>
      <c r="I227" s="47"/>
      <c r="J227" s="48" t="n">
        <f aca="false">IF($A227="",0,YEAR($A227))</f>
        <v>0</v>
      </c>
      <c r="K227" s="43" t="str">
        <f aca="false">IF($A227="","",INDEX(Monate,MONTH($A227)))</f>
        <v/>
      </c>
      <c r="L227" s="48" t="n">
        <f aca="false">IF($A227="",0,WEEKNUM($A227,2))</f>
        <v>0</v>
      </c>
    </row>
    <row r="228" customFormat="false" ht="15" hidden="false" customHeight="false" outlineLevel="0" collapsed="false">
      <c r="A228" s="35"/>
      <c r="B228" s="36"/>
      <c r="C228" s="36"/>
      <c r="D228" s="36"/>
      <c r="E228" s="37"/>
      <c r="F228" s="37"/>
      <c r="G228" s="38"/>
      <c r="H228" s="39" t="n">
        <f aca="false">IF(OR($E228="",$F228=""),0,ROUND(MOD($F228-$E228,1)*24-N($G228)/60,2))</f>
        <v>0</v>
      </c>
      <c r="I228" s="40"/>
      <c r="J228" s="41" t="n">
        <f aca="false">IF($A228="",0,YEAR($A228))</f>
        <v>0</v>
      </c>
      <c r="K228" s="36" t="str">
        <f aca="false">IF($A228="","",INDEX(Monate,MONTH($A228)))</f>
        <v/>
      </c>
      <c r="L228" s="41" t="n">
        <f aca="false">IF($A228="",0,WEEKNUM($A228,2))</f>
        <v>0</v>
      </c>
    </row>
    <row r="229" customFormat="false" ht="15" hidden="false" customHeight="false" outlineLevel="0" collapsed="false">
      <c r="A229" s="42"/>
      <c r="B229" s="43"/>
      <c r="C229" s="43"/>
      <c r="D229" s="43"/>
      <c r="E229" s="44"/>
      <c r="F229" s="44"/>
      <c r="G229" s="45"/>
      <c r="H229" s="46" t="n">
        <f aca="false">IF(OR($E229="",$F229=""),0,ROUND(MOD($F229-$E229,1)*24-N($G229)/60,2))</f>
        <v>0</v>
      </c>
      <c r="I229" s="47"/>
      <c r="J229" s="48" t="n">
        <f aca="false">IF($A229="",0,YEAR($A229))</f>
        <v>0</v>
      </c>
      <c r="K229" s="43" t="str">
        <f aca="false">IF($A229="","",INDEX(Monate,MONTH($A229)))</f>
        <v/>
      </c>
      <c r="L229" s="48" t="n">
        <f aca="false">IF($A229="",0,WEEKNUM($A229,2))</f>
        <v>0</v>
      </c>
    </row>
    <row r="230" customFormat="false" ht="15" hidden="false" customHeight="false" outlineLevel="0" collapsed="false">
      <c r="A230" s="35"/>
      <c r="B230" s="36"/>
      <c r="C230" s="36"/>
      <c r="D230" s="36"/>
      <c r="E230" s="37"/>
      <c r="F230" s="37"/>
      <c r="G230" s="38"/>
      <c r="H230" s="39" t="n">
        <f aca="false">IF(OR($E230="",$F230=""),0,ROUND(MOD($F230-$E230,1)*24-N($G230)/60,2))</f>
        <v>0</v>
      </c>
      <c r="I230" s="40"/>
      <c r="J230" s="41" t="n">
        <f aca="false">IF($A230="",0,YEAR($A230))</f>
        <v>0</v>
      </c>
      <c r="K230" s="36" t="str">
        <f aca="false">IF($A230="","",INDEX(Monate,MONTH($A230)))</f>
        <v/>
      </c>
      <c r="L230" s="41" t="n">
        <f aca="false">IF($A230="",0,WEEKNUM($A230,2))</f>
        <v>0</v>
      </c>
    </row>
    <row r="231" customFormat="false" ht="15" hidden="false" customHeight="false" outlineLevel="0" collapsed="false">
      <c r="A231" s="42"/>
      <c r="B231" s="43"/>
      <c r="C231" s="43"/>
      <c r="D231" s="43"/>
      <c r="E231" s="44"/>
      <c r="F231" s="44"/>
      <c r="G231" s="45"/>
      <c r="H231" s="46" t="n">
        <f aca="false">IF(OR($E231="",$F231=""),0,ROUND(MOD($F231-$E231,1)*24-N($G231)/60,2))</f>
        <v>0</v>
      </c>
      <c r="I231" s="47"/>
      <c r="J231" s="48" t="n">
        <f aca="false">IF($A231="",0,YEAR($A231))</f>
        <v>0</v>
      </c>
      <c r="K231" s="43" t="str">
        <f aca="false">IF($A231="","",INDEX(Monate,MONTH($A231)))</f>
        <v/>
      </c>
      <c r="L231" s="48" t="n">
        <f aca="false">IF($A231="",0,WEEKNUM($A231,2))</f>
        <v>0</v>
      </c>
    </row>
    <row r="232" customFormat="false" ht="15" hidden="false" customHeight="false" outlineLevel="0" collapsed="false">
      <c r="A232" s="35"/>
      <c r="B232" s="36"/>
      <c r="C232" s="36"/>
      <c r="D232" s="36"/>
      <c r="E232" s="37"/>
      <c r="F232" s="37"/>
      <c r="G232" s="38"/>
      <c r="H232" s="39" t="n">
        <f aca="false">IF(OR($E232="",$F232=""),0,ROUND(MOD($F232-$E232,1)*24-N($G232)/60,2))</f>
        <v>0</v>
      </c>
      <c r="I232" s="40"/>
      <c r="J232" s="41" t="n">
        <f aca="false">IF($A232="",0,YEAR($A232))</f>
        <v>0</v>
      </c>
      <c r="K232" s="36" t="str">
        <f aca="false">IF($A232="","",INDEX(Monate,MONTH($A232)))</f>
        <v/>
      </c>
      <c r="L232" s="41" t="n">
        <f aca="false">IF($A232="",0,WEEKNUM($A232,2))</f>
        <v>0</v>
      </c>
    </row>
    <row r="233" customFormat="false" ht="15" hidden="false" customHeight="false" outlineLevel="0" collapsed="false">
      <c r="A233" s="42"/>
      <c r="B233" s="43"/>
      <c r="C233" s="43"/>
      <c r="D233" s="43"/>
      <c r="E233" s="44"/>
      <c r="F233" s="44"/>
      <c r="G233" s="45"/>
      <c r="H233" s="46" t="n">
        <f aca="false">IF(OR($E233="",$F233=""),0,ROUND(MOD($F233-$E233,1)*24-N($G233)/60,2))</f>
        <v>0</v>
      </c>
      <c r="I233" s="47"/>
      <c r="J233" s="48" t="n">
        <f aca="false">IF($A233="",0,YEAR($A233))</f>
        <v>0</v>
      </c>
      <c r="K233" s="43" t="str">
        <f aca="false">IF($A233="","",INDEX(Monate,MONTH($A233)))</f>
        <v/>
      </c>
      <c r="L233" s="48" t="n">
        <f aca="false">IF($A233="",0,WEEKNUM($A233,2))</f>
        <v>0</v>
      </c>
    </row>
    <row r="234" customFormat="false" ht="15" hidden="false" customHeight="false" outlineLevel="0" collapsed="false">
      <c r="A234" s="35"/>
      <c r="B234" s="36"/>
      <c r="C234" s="36"/>
      <c r="D234" s="36"/>
      <c r="E234" s="37"/>
      <c r="F234" s="37"/>
      <c r="G234" s="38"/>
      <c r="H234" s="39" t="n">
        <f aca="false">IF(OR($E234="",$F234=""),0,ROUND(MOD($F234-$E234,1)*24-N($G234)/60,2))</f>
        <v>0</v>
      </c>
      <c r="I234" s="40"/>
      <c r="J234" s="41" t="n">
        <f aca="false">IF($A234="",0,YEAR($A234))</f>
        <v>0</v>
      </c>
      <c r="K234" s="36" t="str">
        <f aca="false">IF($A234="","",INDEX(Monate,MONTH($A234)))</f>
        <v/>
      </c>
      <c r="L234" s="41" t="n">
        <f aca="false">IF($A234="",0,WEEKNUM($A234,2))</f>
        <v>0</v>
      </c>
    </row>
    <row r="235" customFormat="false" ht="15" hidden="false" customHeight="false" outlineLevel="0" collapsed="false">
      <c r="A235" s="42"/>
      <c r="B235" s="43"/>
      <c r="C235" s="43"/>
      <c r="D235" s="43"/>
      <c r="E235" s="44"/>
      <c r="F235" s="44"/>
      <c r="G235" s="45"/>
      <c r="H235" s="46" t="n">
        <f aca="false">IF(OR($E235="",$F235=""),0,ROUND(MOD($F235-$E235,1)*24-N($G235)/60,2))</f>
        <v>0</v>
      </c>
      <c r="I235" s="47"/>
      <c r="J235" s="48" t="n">
        <f aca="false">IF($A235="",0,YEAR($A235))</f>
        <v>0</v>
      </c>
      <c r="K235" s="43" t="str">
        <f aca="false">IF($A235="","",INDEX(Monate,MONTH($A235)))</f>
        <v/>
      </c>
      <c r="L235" s="48" t="n">
        <f aca="false">IF($A235="",0,WEEKNUM($A235,2))</f>
        <v>0</v>
      </c>
    </row>
    <row r="236" customFormat="false" ht="15" hidden="false" customHeight="false" outlineLevel="0" collapsed="false">
      <c r="A236" s="35"/>
      <c r="B236" s="36"/>
      <c r="C236" s="36"/>
      <c r="D236" s="36"/>
      <c r="E236" s="37"/>
      <c r="F236" s="37"/>
      <c r="G236" s="38"/>
      <c r="H236" s="39" t="n">
        <f aca="false">IF(OR($E236="",$F236=""),0,ROUND(MOD($F236-$E236,1)*24-N($G236)/60,2))</f>
        <v>0</v>
      </c>
      <c r="I236" s="40"/>
      <c r="J236" s="41" t="n">
        <f aca="false">IF($A236="",0,YEAR($A236))</f>
        <v>0</v>
      </c>
      <c r="K236" s="36" t="str">
        <f aca="false">IF($A236="","",INDEX(Monate,MONTH($A236)))</f>
        <v/>
      </c>
      <c r="L236" s="41" t="n">
        <f aca="false">IF($A236="",0,WEEKNUM($A236,2))</f>
        <v>0</v>
      </c>
    </row>
    <row r="237" customFormat="false" ht="15" hidden="false" customHeight="false" outlineLevel="0" collapsed="false">
      <c r="A237" s="42"/>
      <c r="B237" s="43"/>
      <c r="C237" s="43"/>
      <c r="D237" s="43"/>
      <c r="E237" s="44"/>
      <c r="F237" s="44"/>
      <c r="G237" s="45"/>
      <c r="H237" s="46" t="n">
        <f aca="false">IF(OR($E237="",$F237=""),0,ROUND(MOD($F237-$E237,1)*24-N($G237)/60,2))</f>
        <v>0</v>
      </c>
      <c r="I237" s="47"/>
      <c r="J237" s="48" t="n">
        <f aca="false">IF($A237="",0,YEAR($A237))</f>
        <v>0</v>
      </c>
      <c r="K237" s="43" t="str">
        <f aca="false">IF($A237="","",INDEX(Monate,MONTH($A237)))</f>
        <v/>
      </c>
      <c r="L237" s="48" t="n">
        <f aca="false">IF($A237="",0,WEEKNUM($A237,2))</f>
        <v>0</v>
      </c>
    </row>
    <row r="238" customFormat="false" ht="15" hidden="false" customHeight="false" outlineLevel="0" collapsed="false">
      <c r="A238" s="35"/>
      <c r="B238" s="36"/>
      <c r="C238" s="36"/>
      <c r="D238" s="36"/>
      <c r="E238" s="37"/>
      <c r="F238" s="37"/>
      <c r="G238" s="38"/>
      <c r="H238" s="39" t="n">
        <f aca="false">IF(OR($E238="",$F238=""),0,ROUND(MOD($F238-$E238,1)*24-N($G238)/60,2))</f>
        <v>0</v>
      </c>
      <c r="I238" s="40"/>
      <c r="J238" s="41" t="n">
        <f aca="false">IF($A238="",0,YEAR($A238))</f>
        <v>0</v>
      </c>
      <c r="K238" s="36" t="str">
        <f aca="false">IF($A238="","",INDEX(Monate,MONTH($A238)))</f>
        <v/>
      </c>
      <c r="L238" s="41" t="n">
        <f aca="false">IF($A238="",0,WEEKNUM($A238,2))</f>
        <v>0</v>
      </c>
    </row>
    <row r="239" customFormat="false" ht="15" hidden="false" customHeight="false" outlineLevel="0" collapsed="false">
      <c r="A239" s="42"/>
      <c r="B239" s="43"/>
      <c r="C239" s="43"/>
      <c r="D239" s="43"/>
      <c r="E239" s="44"/>
      <c r="F239" s="44"/>
      <c r="G239" s="45"/>
      <c r="H239" s="46" t="n">
        <f aca="false">IF(OR($E239="",$F239=""),0,ROUND(MOD($F239-$E239,1)*24-N($G239)/60,2))</f>
        <v>0</v>
      </c>
      <c r="I239" s="47"/>
      <c r="J239" s="48" t="n">
        <f aca="false">IF($A239="",0,YEAR($A239))</f>
        <v>0</v>
      </c>
      <c r="K239" s="43" t="str">
        <f aca="false">IF($A239="","",INDEX(Monate,MONTH($A239)))</f>
        <v/>
      </c>
      <c r="L239" s="48" t="n">
        <f aca="false">IF($A239="",0,WEEKNUM($A239,2))</f>
        <v>0</v>
      </c>
    </row>
    <row r="240" customFormat="false" ht="15" hidden="false" customHeight="false" outlineLevel="0" collapsed="false">
      <c r="A240" s="35"/>
      <c r="B240" s="36"/>
      <c r="C240" s="36"/>
      <c r="D240" s="36"/>
      <c r="E240" s="37"/>
      <c r="F240" s="37"/>
      <c r="G240" s="38"/>
      <c r="H240" s="39" t="n">
        <f aca="false">IF(OR($E240="",$F240=""),0,ROUND(MOD($F240-$E240,1)*24-N($G240)/60,2))</f>
        <v>0</v>
      </c>
      <c r="I240" s="40"/>
      <c r="J240" s="41" t="n">
        <f aca="false">IF($A240="",0,YEAR($A240))</f>
        <v>0</v>
      </c>
      <c r="K240" s="36" t="str">
        <f aca="false">IF($A240="","",INDEX(Monate,MONTH($A240)))</f>
        <v/>
      </c>
      <c r="L240" s="41" t="n">
        <f aca="false">IF($A240="",0,WEEKNUM($A240,2))</f>
        <v>0</v>
      </c>
    </row>
    <row r="241" customFormat="false" ht="15" hidden="false" customHeight="false" outlineLevel="0" collapsed="false">
      <c r="A241" s="42"/>
      <c r="B241" s="43"/>
      <c r="C241" s="43"/>
      <c r="D241" s="43"/>
      <c r="E241" s="44"/>
      <c r="F241" s="44"/>
      <c r="G241" s="45"/>
      <c r="H241" s="46" t="n">
        <f aca="false">IF(OR($E241="",$F241=""),0,ROUND(MOD($F241-$E241,1)*24-N($G241)/60,2))</f>
        <v>0</v>
      </c>
      <c r="I241" s="47"/>
      <c r="J241" s="48" t="n">
        <f aca="false">IF($A241="",0,YEAR($A241))</f>
        <v>0</v>
      </c>
      <c r="K241" s="43" t="str">
        <f aca="false">IF($A241="","",INDEX(Monate,MONTH($A241)))</f>
        <v/>
      </c>
      <c r="L241" s="48" t="n">
        <f aca="false">IF($A241="",0,WEEKNUM($A241,2))</f>
        <v>0</v>
      </c>
    </row>
    <row r="242" customFormat="false" ht="15" hidden="false" customHeight="false" outlineLevel="0" collapsed="false">
      <c r="A242" s="35"/>
      <c r="B242" s="36"/>
      <c r="C242" s="36"/>
      <c r="D242" s="36"/>
      <c r="E242" s="37"/>
      <c r="F242" s="37"/>
      <c r="G242" s="38"/>
      <c r="H242" s="39" t="n">
        <f aca="false">IF(OR($E242="",$F242=""),0,ROUND(MOD($F242-$E242,1)*24-N($G242)/60,2))</f>
        <v>0</v>
      </c>
      <c r="I242" s="40"/>
      <c r="J242" s="41" t="n">
        <f aca="false">IF($A242="",0,YEAR($A242))</f>
        <v>0</v>
      </c>
      <c r="K242" s="36" t="str">
        <f aca="false">IF($A242="","",INDEX(Monate,MONTH($A242)))</f>
        <v/>
      </c>
      <c r="L242" s="41" t="n">
        <f aca="false">IF($A242="",0,WEEKNUM($A242,2))</f>
        <v>0</v>
      </c>
    </row>
    <row r="243" customFormat="false" ht="15" hidden="false" customHeight="false" outlineLevel="0" collapsed="false">
      <c r="A243" s="42"/>
      <c r="B243" s="43"/>
      <c r="C243" s="43"/>
      <c r="D243" s="43"/>
      <c r="E243" s="44"/>
      <c r="F243" s="44"/>
      <c r="G243" s="45"/>
      <c r="H243" s="46" t="n">
        <f aca="false">IF(OR($E243="",$F243=""),0,ROUND(MOD($F243-$E243,1)*24-N($G243)/60,2))</f>
        <v>0</v>
      </c>
      <c r="I243" s="47"/>
      <c r="J243" s="48" t="n">
        <f aca="false">IF($A243="",0,YEAR($A243))</f>
        <v>0</v>
      </c>
      <c r="K243" s="43" t="str">
        <f aca="false">IF($A243="","",INDEX(Monate,MONTH($A243)))</f>
        <v/>
      </c>
      <c r="L243" s="48" t="n">
        <f aca="false">IF($A243="",0,WEEKNUM($A243,2))</f>
        <v>0</v>
      </c>
    </row>
    <row r="244" customFormat="false" ht="15" hidden="false" customHeight="false" outlineLevel="0" collapsed="false">
      <c r="A244" s="35"/>
      <c r="B244" s="36"/>
      <c r="C244" s="36"/>
      <c r="D244" s="36"/>
      <c r="E244" s="37"/>
      <c r="F244" s="37"/>
      <c r="G244" s="38"/>
      <c r="H244" s="39" t="n">
        <f aca="false">IF(OR($E244="",$F244=""),0,ROUND(MOD($F244-$E244,1)*24-N($G244)/60,2))</f>
        <v>0</v>
      </c>
      <c r="I244" s="40"/>
      <c r="J244" s="41" t="n">
        <f aca="false">IF($A244="",0,YEAR($A244))</f>
        <v>0</v>
      </c>
      <c r="K244" s="36" t="str">
        <f aca="false">IF($A244="","",INDEX(Monate,MONTH($A244)))</f>
        <v/>
      </c>
      <c r="L244" s="41" t="n">
        <f aca="false">IF($A244="",0,WEEKNUM($A244,2))</f>
        <v>0</v>
      </c>
    </row>
    <row r="245" customFormat="false" ht="15" hidden="false" customHeight="false" outlineLevel="0" collapsed="false">
      <c r="A245" s="42"/>
      <c r="B245" s="43"/>
      <c r="C245" s="43"/>
      <c r="D245" s="43"/>
      <c r="E245" s="44"/>
      <c r="F245" s="44"/>
      <c r="G245" s="45"/>
      <c r="H245" s="46" t="n">
        <f aca="false">IF(OR($E245="",$F245=""),0,ROUND(MOD($F245-$E245,1)*24-N($G245)/60,2))</f>
        <v>0</v>
      </c>
      <c r="I245" s="47"/>
      <c r="J245" s="48" t="n">
        <f aca="false">IF($A245="",0,YEAR($A245))</f>
        <v>0</v>
      </c>
      <c r="K245" s="43" t="str">
        <f aca="false">IF($A245="","",INDEX(Monate,MONTH($A245)))</f>
        <v/>
      </c>
      <c r="L245" s="48" t="n">
        <f aca="false">IF($A245="",0,WEEKNUM($A245,2))</f>
        <v>0</v>
      </c>
    </row>
    <row r="246" customFormat="false" ht="15" hidden="false" customHeight="false" outlineLevel="0" collapsed="false">
      <c r="A246" s="35"/>
      <c r="B246" s="36"/>
      <c r="C246" s="36"/>
      <c r="D246" s="36"/>
      <c r="E246" s="37"/>
      <c r="F246" s="37"/>
      <c r="G246" s="38"/>
      <c r="H246" s="39" t="n">
        <f aca="false">IF(OR($E246="",$F246=""),0,ROUND(MOD($F246-$E246,1)*24-N($G246)/60,2))</f>
        <v>0</v>
      </c>
      <c r="I246" s="40"/>
      <c r="J246" s="41" t="n">
        <f aca="false">IF($A246="",0,YEAR($A246))</f>
        <v>0</v>
      </c>
      <c r="K246" s="36" t="str">
        <f aca="false">IF($A246="","",INDEX(Monate,MONTH($A246)))</f>
        <v/>
      </c>
      <c r="L246" s="41" t="n">
        <f aca="false">IF($A246="",0,WEEKNUM($A246,2))</f>
        <v>0</v>
      </c>
    </row>
    <row r="247" customFormat="false" ht="15" hidden="false" customHeight="false" outlineLevel="0" collapsed="false">
      <c r="A247" s="42"/>
      <c r="B247" s="43"/>
      <c r="C247" s="43"/>
      <c r="D247" s="43"/>
      <c r="E247" s="44"/>
      <c r="F247" s="44"/>
      <c r="G247" s="45"/>
      <c r="H247" s="46" t="n">
        <f aca="false">IF(OR($E247="",$F247=""),0,ROUND(MOD($F247-$E247,1)*24-N($G247)/60,2))</f>
        <v>0</v>
      </c>
      <c r="I247" s="47"/>
      <c r="J247" s="48" t="n">
        <f aca="false">IF($A247="",0,YEAR($A247))</f>
        <v>0</v>
      </c>
      <c r="K247" s="43" t="str">
        <f aca="false">IF($A247="","",INDEX(Monate,MONTH($A247)))</f>
        <v/>
      </c>
      <c r="L247" s="48" t="n">
        <f aca="false">IF($A247="",0,WEEKNUM($A247,2))</f>
        <v>0</v>
      </c>
    </row>
    <row r="248" customFormat="false" ht="15" hidden="false" customHeight="false" outlineLevel="0" collapsed="false">
      <c r="A248" s="35"/>
      <c r="B248" s="36"/>
      <c r="C248" s="36"/>
      <c r="D248" s="36"/>
      <c r="E248" s="37"/>
      <c r="F248" s="37"/>
      <c r="G248" s="38"/>
      <c r="H248" s="39" t="n">
        <f aca="false">IF(OR($E248="",$F248=""),0,ROUND(MOD($F248-$E248,1)*24-N($G248)/60,2))</f>
        <v>0</v>
      </c>
      <c r="I248" s="40"/>
      <c r="J248" s="41" t="n">
        <f aca="false">IF($A248="",0,YEAR($A248))</f>
        <v>0</v>
      </c>
      <c r="K248" s="36" t="str">
        <f aca="false">IF($A248="","",INDEX(Monate,MONTH($A248)))</f>
        <v/>
      </c>
      <c r="L248" s="41" t="n">
        <f aca="false">IF($A248="",0,WEEKNUM($A248,2))</f>
        <v>0</v>
      </c>
    </row>
    <row r="249" customFormat="false" ht="15" hidden="false" customHeight="false" outlineLevel="0" collapsed="false">
      <c r="A249" s="42"/>
      <c r="B249" s="43"/>
      <c r="C249" s="43"/>
      <c r="D249" s="43"/>
      <c r="E249" s="44"/>
      <c r="F249" s="44"/>
      <c r="G249" s="45"/>
      <c r="H249" s="46" t="n">
        <f aca="false">IF(OR($E249="",$F249=""),0,ROUND(MOD($F249-$E249,1)*24-N($G249)/60,2))</f>
        <v>0</v>
      </c>
      <c r="I249" s="47"/>
      <c r="J249" s="48" t="n">
        <f aca="false">IF($A249="",0,YEAR($A249))</f>
        <v>0</v>
      </c>
      <c r="K249" s="43" t="str">
        <f aca="false">IF($A249="","",INDEX(Monate,MONTH($A249)))</f>
        <v/>
      </c>
      <c r="L249" s="48" t="n">
        <f aca="false">IF($A249="",0,WEEKNUM($A249,2))</f>
        <v>0</v>
      </c>
    </row>
    <row r="250" customFormat="false" ht="15" hidden="false" customHeight="false" outlineLevel="0" collapsed="false">
      <c r="A250" s="35"/>
      <c r="B250" s="36"/>
      <c r="C250" s="36"/>
      <c r="D250" s="36"/>
      <c r="E250" s="37"/>
      <c r="F250" s="37"/>
      <c r="G250" s="38"/>
      <c r="H250" s="39" t="n">
        <f aca="false">IF(OR($E250="",$F250=""),0,ROUND(MOD($F250-$E250,1)*24-N($G250)/60,2))</f>
        <v>0</v>
      </c>
      <c r="I250" s="40"/>
      <c r="J250" s="41" t="n">
        <f aca="false">IF($A250="",0,YEAR($A250))</f>
        <v>0</v>
      </c>
      <c r="K250" s="36" t="str">
        <f aca="false">IF($A250="","",INDEX(Monate,MONTH($A250)))</f>
        <v/>
      </c>
      <c r="L250" s="41" t="n">
        <f aca="false">IF($A250="",0,WEEKNUM($A250,2))</f>
        <v>0</v>
      </c>
    </row>
    <row r="251" customFormat="false" ht="15" hidden="false" customHeight="false" outlineLevel="0" collapsed="false">
      <c r="A251" s="42"/>
      <c r="B251" s="43"/>
      <c r="C251" s="43"/>
      <c r="D251" s="43"/>
      <c r="E251" s="44"/>
      <c r="F251" s="44"/>
      <c r="G251" s="45"/>
      <c r="H251" s="46" t="n">
        <f aca="false">IF(OR($E251="",$F251=""),0,ROUND(MOD($F251-$E251,1)*24-N($G251)/60,2))</f>
        <v>0</v>
      </c>
      <c r="I251" s="47"/>
      <c r="J251" s="48" t="n">
        <f aca="false">IF($A251="",0,YEAR($A251))</f>
        <v>0</v>
      </c>
      <c r="K251" s="43" t="str">
        <f aca="false">IF($A251="","",INDEX(Monate,MONTH($A251)))</f>
        <v/>
      </c>
      <c r="L251" s="48" t="n">
        <f aca="false">IF($A251="",0,WEEKNUM($A251,2))</f>
        <v>0</v>
      </c>
    </row>
    <row r="252" customFormat="false" ht="15" hidden="false" customHeight="false" outlineLevel="0" collapsed="false">
      <c r="A252" s="35"/>
      <c r="B252" s="36"/>
      <c r="C252" s="36"/>
      <c r="D252" s="36"/>
      <c r="E252" s="37"/>
      <c r="F252" s="37"/>
      <c r="G252" s="38"/>
      <c r="H252" s="39" t="n">
        <f aca="false">IF(OR($E252="",$F252=""),0,ROUND(MOD($F252-$E252,1)*24-N($G252)/60,2))</f>
        <v>0</v>
      </c>
      <c r="I252" s="40"/>
      <c r="J252" s="41" t="n">
        <f aca="false">IF($A252="",0,YEAR($A252))</f>
        <v>0</v>
      </c>
      <c r="K252" s="36" t="str">
        <f aca="false">IF($A252="","",INDEX(Monate,MONTH($A252)))</f>
        <v/>
      </c>
      <c r="L252" s="41" t="n">
        <f aca="false">IF($A252="",0,WEEKNUM($A252,2))</f>
        <v>0</v>
      </c>
    </row>
    <row r="253" customFormat="false" ht="15" hidden="false" customHeight="false" outlineLevel="0" collapsed="false">
      <c r="A253" s="42"/>
      <c r="B253" s="43"/>
      <c r="C253" s="43"/>
      <c r="D253" s="43"/>
      <c r="E253" s="44"/>
      <c r="F253" s="44"/>
      <c r="G253" s="45"/>
      <c r="H253" s="46" t="n">
        <f aca="false">IF(OR($E253="",$F253=""),0,ROUND(MOD($F253-$E253,1)*24-N($G253)/60,2))</f>
        <v>0</v>
      </c>
      <c r="I253" s="47"/>
      <c r="J253" s="48" t="n">
        <f aca="false">IF($A253="",0,YEAR($A253))</f>
        <v>0</v>
      </c>
      <c r="K253" s="43" t="str">
        <f aca="false">IF($A253="","",INDEX(Monate,MONTH($A253)))</f>
        <v/>
      </c>
      <c r="L253" s="48" t="n">
        <f aca="false">IF($A253="",0,WEEKNUM($A253,2))</f>
        <v>0</v>
      </c>
    </row>
    <row r="254" customFormat="false" ht="15" hidden="false" customHeight="false" outlineLevel="0" collapsed="false">
      <c r="A254" s="35"/>
      <c r="B254" s="36"/>
      <c r="C254" s="36"/>
      <c r="D254" s="36"/>
      <c r="E254" s="37"/>
      <c r="F254" s="37"/>
      <c r="G254" s="38"/>
      <c r="H254" s="39" t="n">
        <f aca="false">IF(OR($E254="",$F254=""),0,ROUND(MOD($F254-$E254,1)*24-N($G254)/60,2))</f>
        <v>0</v>
      </c>
      <c r="I254" s="40"/>
      <c r="J254" s="41" t="n">
        <f aca="false">IF($A254="",0,YEAR($A254))</f>
        <v>0</v>
      </c>
      <c r="K254" s="36" t="str">
        <f aca="false">IF($A254="","",INDEX(Monate,MONTH($A254)))</f>
        <v/>
      </c>
      <c r="L254" s="41" t="n">
        <f aca="false">IF($A254="",0,WEEKNUM($A254,2))</f>
        <v>0</v>
      </c>
    </row>
    <row r="255" customFormat="false" ht="15" hidden="false" customHeight="false" outlineLevel="0" collapsed="false">
      <c r="A255" s="42"/>
      <c r="B255" s="43"/>
      <c r="C255" s="43"/>
      <c r="D255" s="43"/>
      <c r="E255" s="44"/>
      <c r="F255" s="44"/>
      <c r="G255" s="45"/>
      <c r="H255" s="46" t="n">
        <f aca="false">IF(OR($E255="",$F255=""),0,ROUND(MOD($F255-$E255,1)*24-N($G255)/60,2))</f>
        <v>0</v>
      </c>
      <c r="I255" s="47"/>
      <c r="J255" s="48" t="n">
        <f aca="false">IF($A255="",0,YEAR($A255))</f>
        <v>0</v>
      </c>
      <c r="K255" s="43" t="str">
        <f aca="false">IF($A255="","",INDEX(Monate,MONTH($A255)))</f>
        <v/>
      </c>
      <c r="L255" s="48" t="n">
        <f aca="false">IF($A255="",0,WEEKNUM($A255,2))</f>
        <v>0</v>
      </c>
    </row>
    <row r="256" customFormat="false" ht="15" hidden="false" customHeight="false" outlineLevel="0" collapsed="false">
      <c r="A256" s="35"/>
      <c r="B256" s="36"/>
      <c r="C256" s="36"/>
      <c r="D256" s="36"/>
      <c r="E256" s="37"/>
      <c r="F256" s="37"/>
      <c r="G256" s="38"/>
      <c r="H256" s="39" t="n">
        <f aca="false">IF(OR($E256="",$F256=""),0,ROUND(MOD($F256-$E256,1)*24-N($G256)/60,2))</f>
        <v>0</v>
      </c>
      <c r="I256" s="40"/>
      <c r="J256" s="41" t="n">
        <f aca="false">IF($A256="",0,YEAR($A256))</f>
        <v>0</v>
      </c>
      <c r="K256" s="36" t="str">
        <f aca="false">IF($A256="","",INDEX(Monate,MONTH($A256)))</f>
        <v/>
      </c>
      <c r="L256" s="41" t="n">
        <f aca="false">IF($A256="",0,WEEKNUM($A256,2))</f>
        <v>0</v>
      </c>
    </row>
    <row r="257" customFormat="false" ht="15" hidden="false" customHeight="false" outlineLevel="0" collapsed="false">
      <c r="A257" s="42"/>
      <c r="B257" s="43"/>
      <c r="C257" s="43"/>
      <c r="D257" s="43"/>
      <c r="E257" s="44"/>
      <c r="F257" s="44"/>
      <c r="G257" s="45"/>
      <c r="H257" s="46" t="n">
        <f aca="false">IF(OR($E257="",$F257=""),0,ROUND(MOD($F257-$E257,1)*24-N($G257)/60,2))</f>
        <v>0</v>
      </c>
      <c r="I257" s="47"/>
      <c r="J257" s="48" t="n">
        <f aca="false">IF($A257="",0,YEAR($A257))</f>
        <v>0</v>
      </c>
      <c r="K257" s="43" t="str">
        <f aca="false">IF($A257="","",INDEX(Monate,MONTH($A257)))</f>
        <v/>
      </c>
      <c r="L257" s="48" t="n">
        <f aca="false">IF($A257="",0,WEEKNUM($A257,2))</f>
        <v>0</v>
      </c>
    </row>
    <row r="258" customFormat="false" ht="15" hidden="false" customHeight="false" outlineLevel="0" collapsed="false">
      <c r="A258" s="35"/>
      <c r="B258" s="36"/>
      <c r="C258" s="36"/>
      <c r="D258" s="36"/>
      <c r="E258" s="37"/>
      <c r="F258" s="37"/>
      <c r="G258" s="38"/>
      <c r="H258" s="39" t="n">
        <f aca="false">IF(OR($E258="",$F258=""),0,ROUND(MOD($F258-$E258,1)*24-N($G258)/60,2))</f>
        <v>0</v>
      </c>
      <c r="I258" s="40"/>
      <c r="J258" s="41" t="n">
        <f aca="false">IF($A258="",0,YEAR($A258))</f>
        <v>0</v>
      </c>
      <c r="K258" s="36" t="str">
        <f aca="false">IF($A258="","",INDEX(Monate,MONTH($A258)))</f>
        <v/>
      </c>
      <c r="L258" s="41" t="n">
        <f aca="false">IF($A258="",0,WEEKNUM($A258,2))</f>
        <v>0</v>
      </c>
    </row>
    <row r="259" customFormat="false" ht="15" hidden="false" customHeight="false" outlineLevel="0" collapsed="false">
      <c r="A259" s="42"/>
      <c r="B259" s="43"/>
      <c r="C259" s="43"/>
      <c r="D259" s="43"/>
      <c r="E259" s="44"/>
      <c r="F259" s="44"/>
      <c r="G259" s="45"/>
      <c r="H259" s="46" t="n">
        <f aca="false">IF(OR($E259="",$F259=""),0,ROUND(MOD($F259-$E259,1)*24-N($G259)/60,2))</f>
        <v>0</v>
      </c>
      <c r="I259" s="47"/>
      <c r="J259" s="48" t="n">
        <f aca="false">IF($A259="",0,YEAR($A259))</f>
        <v>0</v>
      </c>
      <c r="K259" s="43" t="str">
        <f aca="false">IF($A259="","",INDEX(Monate,MONTH($A259)))</f>
        <v/>
      </c>
      <c r="L259" s="48" t="n">
        <f aca="false">IF($A259="",0,WEEKNUM($A259,2))</f>
        <v>0</v>
      </c>
    </row>
    <row r="260" customFormat="false" ht="15" hidden="false" customHeight="false" outlineLevel="0" collapsed="false">
      <c r="A260" s="35"/>
      <c r="B260" s="36"/>
      <c r="C260" s="36"/>
      <c r="D260" s="36"/>
      <c r="E260" s="37"/>
      <c r="F260" s="37"/>
      <c r="G260" s="38"/>
      <c r="H260" s="39" t="n">
        <f aca="false">IF(OR($E260="",$F260=""),0,ROUND(MOD($F260-$E260,1)*24-N($G260)/60,2))</f>
        <v>0</v>
      </c>
      <c r="I260" s="40"/>
      <c r="J260" s="41" t="n">
        <f aca="false">IF($A260="",0,YEAR($A260))</f>
        <v>0</v>
      </c>
      <c r="K260" s="36" t="str">
        <f aca="false">IF($A260="","",INDEX(Monate,MONTH($A260)))</f>
        <v/>
      </c>
      <c r="L260" s="41" t="n">
        <f aca="false">IF($A260="",0,WEEKNUM($A260,2))</f>
        <v>0</v>
      </c>
    </row>
    <row r="261" customFormat="false" ht="15" hidden="false" customHeight="false" outlineLevel="0" collapsed="false">
      <c r="A261" s="42"/>
      <c r="B261" s="43"/>
      <c r="C261" s="43"/>
      <c r="D261" s="43"/>
      <c r="E261" s="44"/>
      <c r="F261" s="44"/>
      <c r="G261" s="45"/>
      <c r="H261" s="46" t="n">
        <f aca="false">IF(OR($E261="",$F261=""),0,ROUND(MOD($F261-$E261,1)*24-N($G261)/60,2))</f>
        <v>0</v>
      </c>
      <c r="I261" s="47"/>
      <c r="J261" s="48" t="n">
        <f aca="false">IF($A261="",0,YEAR($A261))</f>
        <v>0</v>
      </c>
      <c r="K261" s="43" t="str">
        <f aca="false">IF($A261="","",INDEX(Monate,MONTH($A261)))</f>
        <v/>
      </c>
      <c r="L261" s="48" t="n">
        <f aca="false">IF($A261="",0,WEEKNUM($A261,2))</f>
        <v>0</v>
      </c>
    </row>
    <row r="262" customFormat="false" ht="15" hidden="false" customHeight="false" outlineLevel="0" collapsed="false">
      <c r="A262" s="35"/>
      <c r="B262" s="36"/>
      <c r="C262" s="36"/>
      <c r="D262" s="36"/>
      <c r="E262" s="37"/>
      <c r="F262" s="37"/>
      <c r="G262" s="38"/>
      <c r="H262" s="39" t="n">
        <f aca="false">IF(OR($E262="",$F262=""),0,ROUND(MOD($F262-$E262,1)*24-N($G262)/60,2))</f>
        <v>0</v>
      </c>
      <c r="I262" s="40"/>
      <c r="J262" s="41" t="n">
        <f aca="false">IF($A262="",0,YEAR($A262))</f>
        <v>0</v>
      </c>
      <c r="K262" s="36" t="str">
        <f aca="false">IF($A262="","",INDEX(Monate,MONTH($A262)))</f>
        <v/>
      </c>
      <c r="L262" s="41" t="n">
        <f aca="false">IF($A262="",0,WEEKNUM($A262,2))</f>
        <v>0</v>
      </c>
    </row>
    <row r="263" customFormat="false" ht="15" hidden="false" customHeight="false" outlineLevel="0" collapsed="false">
      <c r="A263" s="42"/>
      <c r="B263" s="43"/>
      <c r="C263" s="43"/>
      <c r="D263" s="43"/>
      <c r="E263" s="44"/>
      <c r="F263" s="44"/>
      <c r="G263" s="45"/>
      <c r="H263" s="46" t="n">
        <f aca="false">IF(OR($E263="",$F263=""),0,ROUND(MOD($F263-$E263,1)*24-N($G263)/60,2))</f>
        <v>0</v>
      </c>
      <c r="I263" s="47"/>
      <c r="J263" s="48" t="n">
        <f aca="false">IF($A263="",0,YEAR($A263))</f>
        <v>0</v>
      </c>
      <c r="K263" s="43" t="str">
        <f aca="false">IF($A263="","",INDEX(Monate,MONTH($A263)))</f>
        <v/>
      </c>
      <c r="L263" s="48" t="n">
        <f aca="false">IF($A263="",0,WEEKNUM($A263,2))</f>
        <v>0</v>
      </c>
    </row>
    <row r="264" customFormat="false" ht="15" hidden="false" customHeight="false" outlineLevel="0" collapsed="false">
      <c r="A264" s="35"/>
      <c r="B264" s="36"/>
      <c r="C264" s="36"/>
      <c r="D264" s="36"/>
      <c r="E264" s="37"/>
      <c r="F264" s="37"/>
      <c r="G264" s="38"/>
      <c r="H264" s="39" t="n">
        <f aca="false">IF(OR($E264="",$F264=""),0,ROUND(MOD($F264-$E264,1)*24-N($G264)/60,2))</f>
        <v>0</v>
      </c>
      <c r="I264" s="40"/>
      <c r="J264" s="41" t="n">
        <f aca="false">IF($A264="",0,YEAR($A264))</f>
        <v>0</v>
      </c>
      <c r="K264" s="36" t="str">
        <f aca="false">IF($A264="","",INDEX(Monate,MONTH($A264)))</f>
        <v/>
      </c>
      <c r="L264" s="41" t="n">
        <f aca="false">IF($A264="",0,WEEKNUM($A264,2))</f>
        <v>0</v>
      </c>
    </row>
    <row r="265" customFormat="false" ht="15" hidden="false" customHeight="false" outlineLevel="0" collapsed="false">
      <c r="A265" s="42"/>
      <c r="B265" s="43"/>
      <c r="C265" s="43"/>
      <c r="D265" s="43"/>
      <c r="E265" s="44"/>
      <c r="F265" s="44"/>
      <c r="G265" s="45"/>
      <c r="H265" s="46" t="n">
        <f aca="false">IF(OR($E265="",$F265=""),0,ROUND(MOD($F265-$E265,1)*24-N($G265)/60,2))</f>
        <v>0</v>
      </c>
      <c r="I265" s="47"/>
      <c r="J265" s="48" t="n">
        <f aca="false">IF($A265="",0,YEAR($A265))</f>
        <v>0</v>
      </c>
      <c r="K265" s="43" t="str">
        <f aca="false">IF($A265="","",INDEX(Monate,MONTH($A265)))</f>
        <v/>
      </c>
      <c r="L265" s="48" t="n">
        <f aca="false">IF($A265="",0,WEEKNUM($A265,2))</f>
        <v>0</v>
      </c>
    </row>
    <row r="266" customFormat="false" ht="15" hidden="false" customHeight="false" outlineLevel="0" collapsed="false">
      <c r="A266" s="35"/>
      <c r="B266" s="36"/>
      <c r="C266" s="36"/>
      <c r="D266" s="36"/>
      <c r="E266" s="37"/>
      <c r="F266" s="37"/>
      <c r="G266" s="38"/>
      <c r="H266" s="39" t="n">
        <f aca="false">IF(OR($E266="",$F266=""),0,ROUND(MOD($F266-$E266,1)*24-N($G266)/60,2))</f>
        <v>0</v>
      </c>
      <c r="I266" s="40"/>
      <c r="J266" s="41" t="n">
        <f aca="false">IF($A266="",0,YEAR($A266))</f>
        <v>0</v>
      </c>
      <c r="K266" s="36" t="str">
        <f aca="false">IF($A266="","",INDEX(Monate,MONTH($A266)))</f>
        <v/>
      </c>
      <c r="L266" s="41" t="n">
        <f aca="false">IF($A266="",0,WEEKNUM($A266,2))</f>
        <v>0</v>
      </c>
    </row>
    <row r="267" customFormat="false" ht="15" hidden="false" customHeight="false" outlineLevel="0" collapsed="false">
      <c r="A267" s="42"/>
      <c r="B267" s="43"/>
      <c r="C267" s="43"/>
      <c r="D267" s="43"/>
      <c r="E267" s="44"/>
      <c r="F267" s="44"/>
      <c r="G267" s="45"/>
      <c r="H267" s="46" t="n">
        <f aca="false">IF(OR($E267="",$F267=""),0,ROUND(MOD($F267-$E267,1)*24-N($G267)/60,2))</f>
        <v>0</v>
      </c>
      <c r="I267" s="47"/>
      <c r="J267" s="48" t="n">
        <f aca="false">IF($A267="",0,YEAR($A267))</f>
        <v>0</v>
      </c>
      <c r="K267" s="43" t="str">
        <f aca="false">IF($A267="","",INDEX(Monate,MONTH($A267)))</f>
        <v/>
      </c>
      <c r="L267" s="48" t="n">
        <f aca="false">IF($A267="",0,WEEKNUM($A267,2))</f>
        <v>0</v>
      </c>
    </row>
    <row r="268" customFormat="false" ht="15" hidden="false" customHeight="false" outlineLevel="0" collapsed="false">
      <c r="A268" s="35"/>
      <c r="B268" s="36"/>
      <c r="C268" s="36"/>
      <c r="D268" s="36"/>
      <c r="E268" s="37"/>
      <c r="F268" s="37"/>
      <c r="G268" s="38"/>
      <c r="H268" s="39" t="n">
        <f aca="false">IF(OR($E268="",$F268=""),0,ROUND(MOD($F268-$E268,1)*24-N($G268)/60,2))</f>
        <v>0</v>
      </c>
      <c r="I268" s="40"/>
      <c r="J268" s="41" t="n">
        <f aca="false">IF($A268="",0,YEAR($A268))</f>
        <v>0</v>
      </c>
      <c r="K268" s="36" t="str">
        <f aca="false">IF($A268="","",INDEX(Monate,MONTH($A268)))</f>
        <v/>
      </c>
      <c r="L268" s="41" t="n">
        <f aca="false">IF($A268="",0,WEEKNUM($A268,2))</f>
        <v>0</v>
      </c>
    </row>
    <row r="269" customFormat="false" ht="15" hidden="false" customHeight="false" outlineLevel="0" collapsed="false">
      <c r="A269" s="42"/>
      <c r="B269" s="43"/>
      <c r="C269" s="43"/>
      <c r="D269" s="43"/>
      <c r="E269" s="44"/>
      <c r="F269" s="44"/>
      <c r="G269" s="45"/>
      <c r="H269" s="46" t="n">
        <f aca="false">IF(OR($E269="",$F269=""),0,ROUND(MOD($F269-$E269,1)*24-N($G269)/60,2))</f>
        <v>0</v>
      </c>
      <c r="I269" s="47"/>
      <c r="J269" s="48" t="n">
        <f aca="false">IF($A269="",0,YEAR($A269))</f>
        <v>0</v>
      </c>
      <c r="K269" s="43" t="str">
        <f aca="false">IF($A269="","",INDEX(Monate,MONTH($A269)))</f>
        <v/>
      </c>
      <c r="L269" s="48" t="n">
        <f aca="false">IF($A269="",0,WEEKNUM($A269,2))</f>
        <v>0</v>
      </c>
    </row>
    <row r="270" customFormat="false" ht="15" hidden="false" customHeight="false" outlineLevel="0" collapsed="false">
      <c r="A270" s="35"/>
      <c r="B270" s="36"/>
      <c r="C270" s="36"/>
      <c r="D270" s="36"/>
      <c r="E270" s="37"/>
      <c r="F270" s="37"/>
      <c r="G270" s="38"/>
      <c r="H270" s="39" t="n">
        <f aca="false">IF(OR($E270="",$F270=""),0,ROUND(MOD($F270-$E270,1)*24-N($G270)/60,2))</f>
        <v>0</v>
      </c>
      <c r="I270" s="40"/>
      <c r="J270" s="41" t="n">
        <f aca="false">IF($A270="",0,YEAR($A270))</f>
        <v>0</v>
      </c>
      <c r="K270" s="36" t="str">
        <f aca="false">IF($A270="","",INDEX(Monate,MONTH($A270)))</f>
        <v/>
      </c>
      <c r="L270" s="41" t="n">
        <f aca="false">IF($A270="",0,WEEKNUM($A270,2))</f>
        <v>0</v>
      </c>
    </row>
    <row r="271" customFormat="false" ht="15" hidden="false" customHeight="false" outlineLevel="0" collapsed="false">
      <c r="A271" s="42"/>
      <c r="B271" s="43"/>
      <c r="C271" s="43"/>
      <c r="D271" s="43"/>
      <c r="E271" s="44"/>
      <c r="F271" s="44"/>
      <c r="G271" s="45"/>
      <c r="H271" s="46" t="n">
        <f aca="false">IF(OR($E271="",$F271=""),0,ROUND(MOD($F271-$E271,1)*24-N($G271)/60,2))</f>
        <v>0</v>
      </c>
      <c r="I271" s="47"/>
      <c r="J271" s="48" t="n">
        <f aca="false">IF($A271="",0,YEAR($A271))</f>
        <v>0</v>
      </c>
      <c r="K271" s="43" t="str">
        <f aca="false">IF($A271="","",INDEX(Monate,MONTH($A271)))</f>
        <v/>
      </c>
      <c r="L271" s="48" t="n">
        <f aca="false">IF($A271="",0,WEEKNUM($A271,2))</f>
        <v>0</v>
      </c>
    </row>
    <row r="272" customFormat="false" ht="15" hidden="false" customHeight="false" outlineLevel="0" collapsed="false">
      <c r="A272" s="35"/>
      <c r="B272" s="36"/>
      <c r="C272" s="36"/>
      <c r="D272" s="36"/>
      <c r="E272" s="37"/>
      <c r="F272" s="37"/>
      <c r="G272" s="38"/>
      <c r="H272" s="39" t="n">
        <f aca="false">IF(OR($E272="",$F272=""),0,ROUND(MOD($F272-$E272,1)*24-N($G272)/60,2))</f>
        <v>0</v>
      </c>
      <c r="I272" s="40"/>
      <c r="J272" s="41" t="n">
        <f aca="false">IF($A272="",0,YEAR($A272))</f>
        <v>0</v>
      </c>
      <c r="K272" s="36" t="str">
        <f aca="false">IF($A272="","",INDEX(Monate,MONTH($A272)))</f>
        <v/>
      </c>
      <c r="L272" s="41" t="n">
        <f aca="false">IF($A272="",0,WEEKNUM($A272,2))</f>
        <v>0</v>
      </c>
    </row>
    <row r="273" customFormat="false" ht="15" hidden="false" customHeight="false" outlineLevel="0" collapsed="false">
      <c r="A273" s="42"/>
      <c r="B273" s="43"/>
      <c r="C273" s="43"/>
      <c r="D273" s="43"/>
      <c r="E273" s="44"/>
      <c r="F273" s="44"/>
      <c r="G273" s="45"/>
      <c r="H273" s="46" t="n">
        <f aca="false">IF(OR($E273="",$F273=""),0,ROUND(MOD($F273-$E273,1)*24-N($G273)/60,2))</f>
        <v>0</v>
      </c>
      <c r="I273" s="47"/>
      <c r="J273" s="48" t="n">
        <f aca="false">IF($A273="",0,YEAR($A273))</f>
        <v>0</v>
      </c>
      <c r="K273" s="43" t="str">
        <f aca="false">IF($A273="","",INDEX(Monate,MONTH($A273)))</f>
        <v/>
      </c>
      <c r="L273" s="48" t="n">
        <f aca="false">IF($A273="",0,WEEKNUM($A273,2))</f>
        <v>0</v>
      </c>
    </row>
    <row r="274" customFormat="false" ht="15" hidden="false" customHeight="false" outlineLevel="0" collapsed="false">
      <c r="A274" s="35"/>
      <c r="B274" s="36"/>
      <c r="C274" s="36"/>
      <c r="D274" s="36"/>
      <c r="E274" s="37"/>
      <c r="F274" s="37"/>
      <c r="G274" s="38"/>
      <c r="H274" s="39" t="n">
        <f aca="false">IF(OR($E274="",$F274=""),0,ROUND(MOD($F274-$E274,1)*24-N($G274)/60,2))</f>
        <v>0</v>
      </c>
      <c r="I274" s="40"/>
      <c r="J274" s="41" t="n">
        <f aca="false">IF($A274="",0,YEAR($A274))</f>
        <v>0</v>
      </c>
      <c r="K274" s="36" t="str">
        <f aca="false">IF($A274="","",INDEX(Monate,MONTH($A274)))</f>
        <v/>
      </c>
      <c r="L274" s="41" t="n">
        <f aca="false">IF($A274="",0,WEEKNUM($A274,2))</f>
        <v>0</v>
      </c>
    </row>
    <row r="275" customFormat="false" ht="15" hidden="false" customHeight="false" outlineLevel="0" collapsed="false">
      <c r="A275" s="42"/>
      <c r="B275" s="43"/>
      <c r="C275" s="43"/>
      <c r="D275" s="43"/>
      <c r="E275" s="44"/>
      <c r="F275" s="44"/>
      <c r="G275" s="45"/>
      <c r="H275" s="46" t="n">
        <f aca="false">IF(OR($E275="",$F275=""),0,ROUND(MOD($F275-$E275,1)*24-N($G275)/60,2))</f>
        <v>0</v>
      </c>
      <c r="I275" s="47"/>
      <c r="J275" s="48" t="n">
        <f aca="false">IF($A275="",0,YEAR($A275))</f>
        <v>0</v>
      </c>
      <c r="K275" s="43" t="str">
        <f aca="false">IF($A275="","",INDEX(Monate,MONTH($A275)))</f>
        <v/>
      </c>
      <c r="L275" s="48" t="n">
        <f aca="false">IF($A275="",0,WEEKNUM($A275,2))</f>
        <v>0</v>
      </c>
    </row>
    <row r="276" customFormat="false" ht="15" hidden="false" customHeight="false" outlineLevel="0" collapsed="false">
      <c r="A276" s="35"/>
      <c r="B276" s="36"/>
      <c r="C276" s="36"/>
      <c r="D276" s="36"/>
      <c r="E276" s="37"/>
      <c r="F276" s="37"/>
      <c r="G276" s="38"/>
      <c r="H276" s="39" t="n">
        <f aca="false">IF(OR($E276="",$F276=""),0,ROUND(MOD($F276-$E276,1)*24-N($G276)/60,2))</f>
        <v>0</v>
      </c>
      <c r="I276" s="40"/>
      <c r="J276" s="41" t="n">
        <f aca="false">IF($A276="",0,YEAR($A276))</f>
        <v>0</v>
      </c>
      <c r="K276" s="36" t="str">
        <f aca="false">IF($A276="","",INDEX(Monate,MONTH($A276)))</f>
        <v/>
      </c>
      <c r="L276" s="41" t="n">
        <f aca="false">IF($A276="",0,WEEKNUM($A276,2))</f>
        <v>0</v>
      </c>
    </row>
    <row r="277" customFormat="false" ht="15" hidden="false" customHeight="false" outlineLevel="0" collapsed="false">
      <c r="A277" s="42"/>
      <c r="B277" s="43"/>
      <c r="C277" s="43"/>
      <c r="D277" s="43"/>
      <c r="E277" s="44"/>
      <c r="F277" s="44"/>
      <c r="G277" s="45"/>
      <c r="H277" s="46" t="n">
        <f aca="false">IF(OR($E277="",$F277=""),0,ROUND(MOD($F277-$E277,1)*24-N($G277)/60,2))</f>
        <v>0</v>
      </c>
      <c r="I277" s="47"/>
      <c r="J277" s="48" t="n">
        <f aca="false">IF($A277="",0,YEAR($A277))</f>
        <v>0</v>
      </c>
      <c r="K277" s="43" t="str">
        <f aca="false">IF($A277="","",INDEX(Monate,MONTH($A277)))</f>
        <v/>
      </c>
      <c r="L277" s="48" t="n">
        <f aca="false">IF($A277="",0,WEEKNUM($A277,2))</f>
        <v>0</v>
      </c>
    </row>
    <row r="278" customFormat="false" ht="15" hidden="false" customHeight="false" outlineLevel="0" collapsed="false">
      <c r="A278" s="35"/>
      <c r="B278" s="36"/>
      <c r="C278" s="36"/>
      <c r="D278" s="36"/>
      <c r="E278" s="37"/>
      <c r="F278" s="37"/>
      <c r="G278" s="38"/>
      <c r="H278" s="39" t="n">
        <f aca="false">IF(OR($E278="",$F278=""),0,ROUND(MOD($F278-$E278,1)*24-N($G278)/60,2))</f>
        <v>0</v>
      </c>
      <c r="I278" s="40"/>
      <c r="J278" s="41" t="n">
        <f aca="false">IF($A278="",0,YEAR($A278))</f>
        <v>0</v>
      </c>
      <c r="K278" s="36" t="str">
        <f aca="false">IF($A278="","",INDEX(Monate,MONTH($A278)))</f>
        <v/>
      </c>
      <c r="L278" s="41" t="n">
        <f aca="false">IF($A278="",0,WEEKNUM($A278,2))</f>
        <v>0</v>
      </c>
    </row>
    <row r="279" customFormat="false" ht="15" hidden="false" customHeight="false" outlineLevel="0" collapsed="false">
      <c r="A279" s="42"/>
      <c r="B279" s="43"/>
      <c r="C279" s="43"/>
      <c r="D279" s="43"/>
      <c r="E279" s="44"/>
      <c r="F279" s="44"/>
      <c r="G279" s="45"/>
      <c r="H279" s="46" t="n">
        <f aca="false">IF(OR($E279="",$F279=""),0,ROUND(MOD($F279-$E279,1)*24-N($G279)/60,2))</f>
        <v>0</v>
      </c>
      <c r="I279" s="47"/>
      <c r="J279" s="48" t="n">
        <f aca="false">IF($A279="",0,YEAR($A279))</f>
        <v>0</v>
      </c>
      <c r="K279" s="43" t="str">
        <f aca="false">IF($A279="","",INDEX(Monate,MONTH($A279)))</f>
        <v/>
      </c>
      <c r="L279" s="48" t="n">
        <f aca="false">IF($A279="",0,WEEKNUM($A279,2))</f>
        <v>0</v>
      </c>
    </row>
    <row r="280" customFormat="false" ht="15" hidden="false" customHeight="false" outlineLevel="0" collapsed="false">
      <c r="A280" s="35"/>
      <c r="B280" s="36"/>
      <c r="C280" s="36"/>
      <c r="D280" s="36"/>
      <c r="E280" s="37"/>
      <c r="F280" s="37"/>
      <c r="G280" s="38"/>
      <c r="H280" s="39" t="n">
        <f aca="false">IF(OR($E280="",$F280=""),0,ROUND(MOD($F280-$E280,1)*24-N($G280)/60,2))</f>
        <v>0</v>
      </c>
      <c r="I280" s="40"/>
      <c r="J280" s="41" t="n">
        <f aca="false">IF($A280="",0,YEAR($A280))</f>
        <v>0</v>
      </c>
      <c r="K280" s="36" t="str">
        <f aca="false">IF($A280="","",INDEX(Monate,MONTH($A280)))</f>
        <v/>
      </c>
      <c r="L280" s="41" t="n">
        <f aca="false">IF($A280="",0,WEEKNUM($A280,2))</f>
        <v>0</v>
      </c>
    </row>
    <row r="281" customFormat="false" ht="15" hidden="false" customHeight="false" outlineLevel="0" collapsed="false">
      <c r="A281" s="42"/>
      <c r="B281" s="43"/>
      <c r="C281" s="43"/>
      <c r="D281" s="43"/>
      <c r="E281" s="44"/>
      <c r="F281" s="44"/>
      <c r="G281" s="45"/>
      <c r="H281" s="46" t="n">
        <f aca="false">IF(OR($E281="",$F281=""),0,ROUND(MOD($F281-$E281,1)*24-N($G281)/60,2))</f>
        <v>0</v>
      </c>
      <c r="I281" s="47"/>
      <c r="J281" s="48" t="n">
        <f aca="false">IF($A281="",0,YEAR($A281))</f>
        <v>0</v>
      </c>
      <c r="K281" s="43" t="str">
        <f aca="false">IF($A281="","",INDEX(Monate,MONTH($A281)))</f>
        <v/>
      </c>
      <c r="L281" s="48" t="n">
        <f aca="false">IF($A281="",0,WEEKNUM($A281,2))</f>
        <v>0</v>
      </c>
    </row>
    <row r="282" customFormat="false" ht="15" hidden="false" customHeight="false" outlineLevel="0" collapsed="false">
      <c r="A282" s="35"/>
      <c r="B282" s="36"/>
      <c r="C282" s="36"/>
      <c r="D282" s="36"/>
      <c r="E282" s="37"/>
      <c r="F282" s="37"/>
      <c r="G282" s="38"/>
      <c r="H282" s="39" t="n">
        <f aca="false">IF(OR($E282="",$F282=""),0,ROUND(MOD($F282-$E282,1)*24-N($G282)/60,2))</f>
        <v>0</v>
      </c>
      <c r="I282" s="40"/>
      <c r="J282" s="41" t="n">
        <f aca="false">IF($A282="",0,YEAR($A282))</f>
        <v>0</v>
      </c>
      <c r="K282" s="36" t="str">
        <f aca="false">IF($A282="","",INDEX(Monate,MONTH($A282)))</f>
        <v/>
      </c>
      <c r="L282" s="41" t="n">
        <f aca="false">IF($A282="",0,WEEKNUM($A282,2))</f>
        <v>0</v>
      </c>
    </row>
    <row r="283" customFormat="false" ht="15" hidden="false" customHeight="false" outlineLevel="0" collapsed="false">
      <c r="A283" s="42"/>
      <c r="B283" s="43"/>
      <c r="C283" s="43"/>
      <c r="D283" s="43"/>
      <c r="E283" s="44"/>
      <c r="F283" s="44"/>
      <c r="G283" s="45"/>
      <c r="H283" s="46" t="n">
        <f aca="false">IF(OR($E283="",$F283=""),0,ROUND(MOD($F283-$E283,1)*24-N($G283)/60,2))</f>
        <v>0</v>
      </c>
      <c r="I283" s="47"/>
      <c r="J283" s="48" t="n">
        <f aca="false">IF($A283="",0,YEAR($A283))</f>
        <v>0</v>
      </c>
      <c r="K283" s="43" t="str">
        <f aca="false">IF($A283="","",INDEX(Monate,MONTH($A283)))</f>
        <v/>
      </c>
      <c r="L283" s="48" t="n">
        <f aca="false">IF($A283="",0,WEEKNUM($A283,2))</f>
        <v>0</v>
      </c>
    </row>
    <row r="284" customFormat="false" ht="15" hidden="false" customHeight="false" outlineLevel="0" collapsed="false">
      <c r="A284" s="35"/>
      <c r="B284" s="36"/>
      <c r="C284" s="36"/>
      <c r="D284" s="36"/>
      <c r="E284" s="37"/>
      <c r="F284" s="37"/>
      <c r="G284" s="38"/>
      <c r="H284" s="39" t="n">
        <f aca="false">IF(OR($E284="",$F284=""),0,ROUND(MOD($F284-$E284,1)*24-N($G284)/60,2))</f>
        <v>0</v>
      </c>
      <c r="I284" s="40"/>
      <c r="J284" s="41" t="n">
        <f aca="false">IF($A284="",0,YEAR($A284))</f>
        <v>0</v>
      </c>
      <c r="K284" s="36" t="str">
        <f aca="false">IF($A284="","",INDEX(Monate,MONTH($A284)))</f>
        <v/>
      </c>
      <c r="L284" s="41" t="n">
        <f aca="false">IF($A284="",0,WEEKNUM($A284,2))</f>
        <v>0</v>
      </c>
    </row>
    <row r="285" customFormat="false" ht="15" hidden="false" customHeight="false" outlineLevel="0" collapsed="false">
      <c r="A285" s="42"/>
      <c r="B285" s="43"/>
      <c r="C285" s="43"/>
      <c r="D285" s="43"/>
      <c r="E285" s="44"/>
      <c r="F285" s="44"/>
      <c r="G285" s="45"/>
      <c r="H285" s="46" t="n">
        <f aca="false">IF(OR($E285="",$F285=""),0,ROUND(MOD($F285-$E285,1)*24-N($G285)/60,2))</f>
        <v>0</v>
      </c>
      <c r="I285" s="47"/>
      <c r="J285" s="48" t="n">
        <f aca="false">IF($A285="",0,YEAR($A285))</f>
        <v>0</v>
      </c>
      <c r="K285" s="43" t="str">
        <f aca="false">IF($A285="","",INDEX(Monate,MONTH($A285)))</f>
        <v/>
      </c>
      <c r="L285" s="48" t="n">
        <f aca="false">IF($A285="",0,WEEKNUM($A285,2))</f>
        <v>0</v>
      </c>
    </row>
    <row r="286" customFormat="false" ht="15" hidden="false" customHeight="false" outlineLevel="0" collapsed="false">
      <c r="A286" s="35"/>
      <c r="B286" s="36"/>
      <c r="C286" s="36"/>
      <c r="D286" s="36"/>
      <c r="E286" s="37"/>
      <c r="F286" s="37"/>
      <c r="G286" s="38"/>
      <c r="H286" s="39" t="n">
        <f aca="false">IF(OR($E286="",$F286=""),0,ROUND(MOD($F286-$E286,1)*24-N($G286)/60,2))</f>
        <v>0</v>
      </c>
      <c r="I286" s="40"/>
      <c r="J286" s="41" t="n">
        <f aca="false">IF($A286="",0,YEAR($A286))</f>
        <v>0</v>
      </c>
      <c r="K286" s="36" t="str">
        <f aca="false">IF($A286="","",INDEX(Monate,MONTH($A286)))</f>
        <v/>
      </c>
      <c r="L286" s="41" t="n">
        <f aca="false">IF($A286="",0,WEEKNUM($A286,2))</f>
        <v>0</v>
      </c>
    </row>
    <row r="287" customFormat="false" ht="15" hidden="false" customHeight="false" outlineLevel="0" collapsed="false">
      <c r="A287" s="42"/>
      <c r="B287" s="43"/>
      <c r="C287" s="43"/>
      <c r="D287" s="43"/>
      <c r="E287" s="44"/>
      <c r="F287" s="44"/>
      <c r="G287" s="45"/>
      <c r="H287" s="46" t="n">
        <f aca="false">IF(OR($E287="",$F287=""),0,ROUND(MOD($F287-$E287,1)*24-N($G287)/60,2))</f>
        <v>0</v>
      </c>
      <c r="I287" s="47"/>
      <c r="J287" s="48" t="n">
        <f aca="false">IF($A287="",0,YEAR($A287))</f>
        <v>0</v>
      </c>
      <c r="K287" s="43" t="str">
        <f aca="false">IF($A287="","",INDEX(Monate,MONTH($A287)))</f>
        <v/>
      </c>
      <c r="L287" s="48" t="n">
        <f aca="false">IF($A287="",0,WEEKNUM($A287,2))</f>
        <v>0</v>
      </c>
    </row>
    <row r="288" customFormat="false" ht="15" hidden="false" customHeight="false" outlineLevel="0" collapsed="false">
      <c r="A288" s="35"/>
      <c r="B288" s="36"/>
      <c r="C288" s="36"/>
      <c r="D288" s="36"/>
      <c r="E288" s="37"/>
      <c r="F288" s="37"/>
      <c r="G288" s="38"/>
      <c r="H288" s="39" t="n">
        <f aca="false">IF(OR($E288="",$F288=""),0,ROUND(MOD($F288-$E288,1)*24-N($G288)/60,2))</f>
        <v>0</v>
      </c>
      <c r="I288" s="40"/>
      <c r="J288" s="41" t="n">
        <f aca="false">IF($A288="",0,YEAR($A288))</f>
        <v>0</v>
      </c>
      <c r="K288" s="36" t="str">
        <f aca="false">IF($A288="","",INDEX(Monate,MONTH($A288)))</f>
        <v/>
      </c>
      <c r="L288" s="41" t="n">
        <f aca="false">IF($A288="",0,WEEKNUM($A288,2))</f>
        <v>0</v>
      </c>
    </row>
    <row r="289" customFormat="false" ht="15" hidden="false" customHeight="false" outlineLevel="0" collapsed="false">
      <c r="A289" s="42"/>
      <c r="B289" s="43"/>
      <c r="C289" s="43"/>
      <c r="D289" s="43"/>
      <c r="E289" s="44"/>
      <c r="F289" s="44"/>
      <c r="G289" s="45"/>
      <c r="H289" s="46" t="n">
        <f aca="false">IF(OR($E289="",$F289=""),0,ROUND(MOD($F289-$E289,1)*24-N($G289)/60,2))</f>
        <v>0</v>
      </c>
      <c r="I289" s="47"/>
      <c r="J289" s="48" t="n">
        <f aca="false">IF($A289="",0,YEAR($A289))</f>
        <v>0</v>
      </c>
      <c r="K289" s="43" t="str">
        <f aca="false">IF($A289="","",INDEX(Monate,MONTH($A289)))</f>
        <v/>
      </c>
      <c r="L289" s="48" t="n">
        <f aca="false">IF($A289="",0,WEEKNUM($A289,2))</f>
        <v>0</v>
      </c>
    </row>
    <row r="290" customFormat="false" ht="15" hidden="false" customHeight="false" outlineLevel="0" collapsed="false">
      <c r="A290" s="35"/>
      <c r="B290" s="36"/>
      <c r="C290" s="36"/>
      <c r="D290" s="36"/>
      <c r="E290" s="37"/>
      <c r="F290" s="37"/>
      <c r="G290" s="38"/>
      <c r="H290" s="39" t="n">
        <f aca="false">IF(OR($E290="",$F290=""),0,ROUND(MOD($F290-$E290,1)*24-N($G290)/60,2))</f>
        <v>0</v>
      </c>
      <c r="I290" s="40"/>
      <c r="J290" s="41" t="n">
        <f aca="false">IF($A290="",0,YEAR($A290))</f>
        <v>0</v>
      </c>
      <c r="K290" s="36" t="str">
        <f aca="false">IF($A290="","",INDEX(Monate,MONTH($A290)))</f>
        <v/>
      </c>
      <c r="L290" s="41" t="n">
        <f aca="false">IF($A290="",0,WEEKNUM($A290,2))</f>
        <v>0</v>
      </c>
    </row>
    <row r="291" customFormat="false" ht="15" hidden="false" customHeight="false" outlineLevel="0" collapsed="false">
      <c r="A291" s="42"/>
      <c r="B291" s="43"/>
      <c r="C291" s="43"/>
      <c r="D291" s="43"/>
      <c r="E291" s="44"/>
      <c r="F291" s="44"/>
      <c r="G291" s="45"/>
      <c r="H291" s="46" t="n">
        <f aca="false">IF(OR($E291="",$F291=""),0,ROUND(MOD($F291-$E291,1)*24-N($G291)/60,2))</f>
        <v>0</v>
      </c>
      <c r="I291" s="47"/>
      <c r="J291" s="48" t="n">
        <f aca="false">IF($A291="",0,YEAR($A291))</f>
        <v>0</v>
      </c>
      <c r="K291" s="43" t="str">
        <f aca="false">IF($A291="","",INDEX(Monate,MONTH($A291)))</f>
        <v/>
      </c>
      <c r="L291" s="48" t="n">
        <f aca="false">IF($A291="",0,WEEKNUM($A291,2))</f>
        <v>0</v>
      </c>
    </row>
    <row r="292" customFormat="false" ht="15" hidden="false" customHeight="false" outlineLevel="0" collapsed="false">
      <c r="A292" s="35"/>
      <c r="B292" s="36"/>
      <c r="C292" s="36"/>
      <c r="D292" s="36"/>
      <c r="E292" s="37"/>
      <c r="F292" s="37"/>
      <c r="G292" s="38"/>
      <c r="H292" s="39" t="n">
        <f aca="false">IF(OR($E292="",$F292=""),0,ROUND(MOD($F292-$E292,1)*24-N($G292)/60,2))</f>
        <v>0</v>
      </c>
      <c r="I292" s="40"/>
      <c r="J292" s="41" t="n">
        <f aca="false">IF($A292="",0,YEAR($A292))</f>
        <v>0</v>
      </c>
      <c r="K292" s="36" t="str">
        <f aca="false">IF($A292="","",INDEX(Monate,MONTH($A292)))</f>
        <v/>
      </c>
      <c r="L292" s="41" t="n">
        <f aca="false">IF($A292="",0,WEEKNUM($A292,2))</f>
        <v>0</v>
      </c>
    </row>
    <row r="293" customFormat="false" ht="15" hidden="false" customHeight="false" outlineLevel="0" collapsed="false">
      <c r="A293" s="42"/>
      <c r="B293" s="43"/>
      <c r="C293" s="43"/>
      <c r="D293" s="43"/>
      <c r="E293" s="44"/>
      <c r="F293" s="44"/>
      <c r="G293" s="45"/>
      <c r="H293" s="46" t="n">
        <f aca="false">IF(OR($E293="",$F293=""),0,ROUND(MOD($F293-$E293,1)*24-N($G293)/60,2))</f>
        <v>0</v>
      </c>
      <c r="I293" s="47"/>
      <c r="J293" s="48" t="n">
        <f aca="false">IF($A293="",0,YEAR($A293))</f>
        <v>0</v>
      </c>
      <c r="K293" s="43" t="str">
        <f aca="false">IF($A293="","",INDEX(Monate,MONTH($A293)))</f>
        <v/>
      </c>
      <c r="L293" s="48" t="n">
        <f aca="false">IF($A293="",0,WEEKNUM($A293,2))</f>
        <v>0</v>
      </c>
    </row>
    <row r="294" customFormat="false" ht="15" hidden="false" customHeight="false" outlineLevel="0" collapsed="false">
      <c r="A294" s="35"/>
      <c r="B294" s="36"/>
      <c r="C294" s="36"/>
      <c r="D294" s="36"/>
      <c r="E294" s="37"/>
      <c r="F294" s="37"/>
      <c r="G294" s="38"/>
      <c r="H294" s="39" t="n">
        <f aca="false">IF(OR($E294="",$F294=""),0,ROUND(MOD($F294-$E294,1)*24-N($G294)/60,2))</f>
        <v>0</v>
      </c>
      <c r="I294" s="40"/>
      <c r="J294" s="41" t="n">
        <f aca="false">IF($A294="",0,YEAR($A294))</f>
        <v>0</v>
      </c>
      <c r="K294" s="36" t="str">
        <f aca="false">IF($A294="","",INDEX(Monate,MONTH($A294)))</f>
        <v/>
      </c>
      <c r="L294" s="41" t="n">
        <f aca="false">IF($A294="",0,WEEKNUM($A294,2))</f>
        <v>0</v>
      </c>
    </row>
    <row r="295" customFormat="false" ht="15" hidden="false" customHeight="false" outlineLevel="0" collapsed="false">
      <c r="A295" s="42"/>
      <c r="B295" s="43"/>
      <c r="C295" s="43"/>
      <c r="D295" s="43"/>
      <c r="E295" s="44"/>
      <c r="F295" s="44"/>
      <c r="G295" s="45"/>
      <c r="H295" s="46" t="n">
        <f aca="false">IF(OR($E295="",$F295=""),0,ROUND(MOD($F295-$E295,1)*24-N($G295)/60,2))</f>
        <v>0</v>
      </c>
      <c r="I295" s="47"/>
      <c r="J295" s="48" t="n">
        <f aca="false">IF($A295="",0,YEAR($A295))</f>
        <v>0</v>
      </c>
      <c r="K295" s="43" t="str">
        <f aca="false">IF($A295="","",INDEX(Monate,MONTH($A295)))</f>
        <v/>
      </c>
      <c r="L295" s="48" t="n">
        <f aca="false">IF($A295="",0,WEEKNUM($A295,2))</f>
        <v>0</v>
      </c>
    </row>
    <row r="296" customFormat="false" ht="15" hidden="false" customHeight="false" outlineLevel="0" collapsed="false">
      <c r="A296" s="35"/>
      <c r="B296" s="36"/>
      <c r="C296" s="36"/>
      <c r="D296" s="36"/>
      <c r="E296" s="37"/>
      <c r="F296" s="37"/>
      <c r="G296" s="38"/>
      <c r="H296" s="39" t="n">
        <f aca="false">IF(OR($E296="",$F296=""),0,ROUND(MOD($F296-$E296,1)*24-N($G296)/60,2))</f>
        <v>0</v>
      </c>
      <c r="I296" s="40"/>
      <c r="J296" s="41" t="n">
        <f aca="false">IF($A296="",0,YEAR($A296))</f>
        <v>0</v>
      </c>
      <c r="K296" s="36" t="str">
        <f aca="false">IF($A296="","",INDEX(Monate,MONTH($A296)))</f>
        <v/>
      </c>
      <c r="L296" s="41" t="n">
        <f aca="false">IF($A296="",0,WEEKNUM($A296,2))</f>
        <v>0</v>
      </c>
    </row>
    <row r="297" customFormat="false" ht="15" hidden="false" customHeight="false" outlineLevel="0" collapsed="false">
      <c r="A297" s="42"/>
      <c r="B297" s="43"/>
      <c r="C297" s="43"/>
      <c r="D297" s="43"/>
      <c r="E297" s="44"/>
      <c r="F297" s="44"/>
      <c r="G297" s="45"/>
      <c r="H297" s="46" t="n">
        <f aca="false">IF(OR($E297="",$F297=""),0,ROUND(MOD($F297-$E297,1)*24-N($G297)/60,2))</f>
        <v>0</v>
      </c>
      <c r="I297" s="47"/>
      <c r="J297" s="48" t="n">
        <f aca="false">IF($A297="",0,YEAR($A297))</f>
        <v>0</v>
      </c>
      <c r="K297" s="43" t="str">
        <f aca="false">IF($A297="","",INDEX(Monate,MONTH($A297)))</f>
        <v/>
      </c>
      <c r="L297" s="48" t="n">
        <f aca="false">IF($A297="",0,WEEKNUM($A297,2))</f>
        <v>0</v>
      </c>
    </row>
    <row r="298" customFormat="false" ht="15" hidden="false" customHeight="false" outlineLevel="0" collapsed="false">
      <c r="A298" s="35"/>
      <c r="B298" s="36"/>
      <c r="C298" s="36"/>
      <c r="D298" s="36"/>
      <c r="E298" s="37"/>
      <c r="F298" s="37"/>
      <c r="G298" s="38"/>
      <c r="H298" s="39" t="n">
        <f aca="false">IF(OR($E298="",$F298=""),0,ROUND(MOD($F298-$E298,1)*24-N($G298)/60,2))</f>
        <v>0</v>
      </c>
      <c r="I298" s="40"/>
      <c r="J298" s="41" t="n">
        <f aca="false">IF($A298="",0,YEAR($A298))</f>
        <v>0</v>
      </c>
      <c r="K298" s="36" t="str">
        <f aca="false">IF($A298="","",INDEX(Monate,MONTH($A298)))</f>
        <v/>
      </c>
      <c r="L298" s="41" t="n">
        <f aca="false">IF($A298="",0,WEEKNUM($A298,2))</f>
        <v>0</v>
      </c>
    </row>
    <row r="299" customFormat="false" ht="15" hidden="false" customHeight="false" outlineLevel="0" collapsed="false">
      <c r="A299" s="42"/>
      <c r="B299" s="43"/>
      <c r="C299" s="43"/>
      <c r="D299" s="43"/>
      <c r="E299" s="44"/>
      <c r="F299" s="44"/>
      <c r="G299" s="45"/>
      <c r="H299" s="46" t="n">
        <f aca="false">IF(OR($E299="",$F299=""),0,ROUND(MOD($F299-$E299,1)*24-N($G299)/60,2))</f>
        <v>0</v>
      </c>
      <c r="I299" s="47"/>
      <c r="J299" s="48" t="n">
        <f aca="false">IF($A299="",0,YEAR($A299))</f>
        <v>0</v>
      </c>
      <c r="K299" s="43" t="str">
        <f aca="false">IF($A299="","",INDEX(Monate,MONTH($A299)))</f>
        <v/>
      </c>
      <c r="L299" s="48" t="n">
        <f aca="false">IF($A299="",0,WEEKNUM($A299,2))</f>
        <v>0</v>
      </c>
    </row>
    <row r="300" customFormat="false" ht="15" hidden="false" customHeight="false" outlineLevel="0" collapsed="false">
      <c r="A300" s="35"/>
      <c r="B300" s="36"/>
      <c r="C300" s="36"/>
      <c r="D300" s="36"/>
      <c r="E300" s="37"/>
      <c r="F300" s="37"/>
      <c r="G300" s="38"/>
      <c r="H300" s="39" t="n">
        <f aca="false">IF(OR($E300="",$F300=""),0,ROUND(MOD($F300-$E300,1)*24-N($G300)/60,2))</f>
        <v>0</v>
      </c>
      <c r="I300" s="40"/>
      <c r="J300" s="41" t="n">
        <f aca="false">IF($A300="",0,YEAR($A300))</f>
        <v>0</v>
      </c>
      <c r="K300" s="36" t="str">
        <f aca="false">IF($A300="","",INDEX(Monate,MONTH($A300)))</f>
        <v/>
      </c>
      <c r="L300" s="41" t="n">
        <f aca="false">IF($A300="",0,WEEKNUM($A300,2))</f>
        <v>0</v>
      </c>
    </row>
    <row r="301" customFormat="false" ht="15" hidden="false" customHeight="false" outlineLevel="0" collapsed="false">
      <c r="A301" s="42"/>
      <c r="B301" s="43"/>
      <c r="C301" s="43"/>
      <c r="D301" s="43"/>
      <c r="E301" s="44"/>
      <c r="F301" s="44"/>
      <c r="G301" s="45"/>
      <c r="H301" s="46" t="n">
        <f aca="false">IF(OR($E301="",$F301=""),0,ROUND(MOD($F301-$E301,1)*24-N($G301)/60,2))</f>
        <v>0</v>
      </c>
      <c r="I301" s="47"/>
      <c r="J301" s="48" t="n">
        <f aca="false">IF($A301="",0,YEAR($A301))</f>
        <v>0</v>
      </c>
      <c r="K301" s="43" t="str">
        <f aca="false">IF($A301="","",INDEX(Monate,MONTH($A301)))</f>
        <v/>
      </c>
      <c r="L301" s="48" t="n">
        <f aca="false">IF($A301="",0,WEEKNUM($A301,2))</f>
        <v>0</v>
      </c>
    </row>
    <row r="302" customFormat="false" ht="15" hidden="false" customHeight="false" outlineLevel="0" collapsed="false">
      <c r="A302" s="35"/>
      <c r="B302" s="36"/>
      <c r="C302" s="36"/>
      <c r="D302" s="36"/>
      <c r="E302" s="37"/>
      <c r="F302" s="37"/>
      <c r="G302" s="38"/>
      <c r="H302" s="39" t="n">
        <f aca="false">IF(OR($E302="",$F302=""),0,ROUND(MOD($F302-$E302,1)*24-N($G302)/60,2))</f>
        <v>0</v>
      </c>
      <c r="I302" s="40"/>
      <c r="J302" s="41" t="n">
        <f aca="false">IF($A302="",0,YEAR($A302))</f>
        <v>0</v>
      </c>
      <c r="K302" s="36" t="str">
        <f aca="false">IF($A302="","",INDEX(Monate,MONTH($A302)))</f>
        <v/>
      </c>
      <c r="L302" s="41" t="n">
        <f aca="false">IF($A302="",0,WEEKNUM($A302,2))</f>
        <v>0</v>
      </c>
    </row>
    <row r="303" customFormat="false" ht="15" hidden="false" customHeight="false" outlineLevel="0" collapsed="false">
      <c r="A303" s="42"/>
      <c r="B303" s="43"/>
      <c r="C303" s="43"/>
      <c r="D303" s="43"/>
      <c r="E303" s="44"/>
      <c r="F303" s="44"/>
      <c r="G303" s="45"/>
      <c r="H303" s="46" t="n">
        <f aca="false">IF(OR($E303="",$F303=""),0,ROUND(MOD($F303-$E303,1)*24-N($G303)/60,2))</f>
        <v>0</v>
      </c>
      <c r="I303" s="47"/>
      <c r="J303" s="48" t="n">
        <f aca="false">IF($A303="",0,YEAR($A303))</f>
        <v>0</v>
      </c>
      <c r="K303" s="43" t="str">
        <f aca="false">IF($A303="","",INDEX(Monate,MONTH($A303)))</f>
        <v/>
      </c>
      <c r="L303" s="48" t="n">
        <f aca="false">IF($A303="",0,WEEKNUM($A303,2))</f>
        <v>0</v>
      </c>
    </row>
    <row r="304" customFormat="false" ht="15" hidden="false" customHeight="false" outlineLevel="0" collapsed="false">
      <c r="A304" s="35"/>
      <c r="B304" s="36"/>
      <c r="C304" s="36"/>
      <c r="D304" s="36"/>
      <c r="E304" s="37"/>
      <c r="F304" s="37"/>
      <c r="G304" s="38"/>
      <c r="H304" s="39" t="n">
        <f aca="false">IF(OR($E304="",$F304=""),0,ROUND(MOD($F304-$E304,1)*24-N($G304)/60,2))</f>
        <v>0</v>
      </c>
      <c r="I304" s="40"/>
      <c r="J304" s="41" t="n">
        <f aca="false">IF($A304="",0,YEAR($A304))</f>
        <v>0</v>
      </c>
      <c r="K304" s="36" t="str">
        <f aca="false">IF($A304="","",INDEX(Monate,MONTH($A304)))</f>
        <v/>
      </c>
      <c r="L304" s="41" t="n">
        <f aca="false">IF($A304="",0,WEEKNUM($A304,2))</f>
        <v>0</v>
      </c>
    </row>
    <row r="305" customFormat="false" ht="15" hidden="false" customHeight="false" outlineLevel="0" collapsed="false">
      <c r="A305" s="42"/>
      <c r="B305" s="43"/>
      <c r="C305" s="43"/>
      <c r="D305" s="43"/>
      <c r="E305" s="44"/>
      <c r="F305" s="44"/>
      <c r="G305" s="45"/>
      <c r="H305" s="46" t="n">
        <f aca="false">IF(OR($E305="",$F305=""),0,ROUND(MOD($F305-$E305,1)*24-N($G305)/60,2))</f>
        <v>0</v>
      </c>
      <c r="I305" s="47"/>
      <c r="J305" s="48" t="n">
        <f aca="false">IF($A305="",0,YEAR($A305))</f>
        <v>0</v>
      </c>
      <c r="K305" s="43" t="str">
        <f aca="false">IF($A305="","",INDEX(Monate,MONTH($A305)))</f>
        <v/>
      </c>
      <c r="L305" s="48" t="n">
        <f aca="false">IF($A305="",0,WEEKNUM($A305,2))</f>
        <v>0</v>
      </c>
    </row>
    <row r="306" customFormat="false" ht="15" hidden="false" customHeight="false" outlineLevel="0" collapsed="false">
      <c r="A306" s="35"/>
      <c r="B306" s="36"/>
      <c r="C306" s="36"/>
      <c r="D306" s="36"/>
      <c r="E306" s="37"/>
      <c r="F306" s="37"/>
      <c r="G306" s="38"/>
      <c r="H306" s="39" t="n">
        <f aca="false">IF(OR($E306="",$F306=""),0,ROUND(MOD($F306-$E306,1)*24-N($G306)/60,2))</f>
        <v>0</v>
      </c>
      <c r="I306" s="40"/>
      <c r="J306" s="41" t="n">
        <f aca="false">IF($A306="",0,YEAR($A306))</f>
        <v>0</v>
      </c>
      <c r="K306" s="36" t="str">
        <f aca="false">IF($A306="","",INDEX(Monate,MONTH($A306)))</f>
        <v/>
      </c>
      <c r="L306" s="41" t="n">
        <f aca="false">IF($A306="",0,WEEKNUM($A306,2))</f>
        <v>0</v>
      </c>
    </row>
    <row r="307" customFormat="false" ht="15" hidden="false" customHeight="false" outlineLevel="0" collapsed="false">
      <c r="A307" s="42"/>
      <c r="B307" s="43"/>
      <c r="C307" s="43"/>
      <c r="D307" s="43"/>
      <c r="E307" s="44"/>
      <c r="F307" s="44"/>
      <c r="G307" s="45"/>
      <c r="H307" s="46" t="n">
        <f aca="false">IF(OR($E307="",$F307=""),0,ROUND(MOD($F307-$E307,1)*24-N($G307)/60,2))</f>
        <v>0</v>
      </c>
      <c r="I307" s="47"/>
      <c r="J307" s="48" t="n">
        <f aca="false">IF($A307="",0,YEAR($A307))</f>
        <v>0</v>
      </c>
      <c r="K307" s="43" t="str">
        <f aca="false">IF($A307="","",INDEX(Monate,MONTH($A307)))</f>
        <v/>
      </c>
      <c r="L307" s="48" t="n">
        <f aca="false">IF($A307="",0,WEEKNUM($A307,2))</f>
        <v>0</v>
      </c>
    </row>
    <row r="308" customFormat="false" ht="15" hidden="false" customHeight="false" outlineLevel="0" collapsed="false">
      <c r="A308" s="35"/>
      <c r="B308" s="36"/>
      <c r="C308" s="36"/>
      <c r="D308" s="36"/>
      <c r="E308" s="37"/>
      <c r="F308" s="37"/>
      <c r="G308" s="38"/>
      <c r="H308" s="39" t="n">
        <f aca="false">IF(OR($E308="",$F308=""),0,ROUND(MOD($F308-$E308,1)*24-N($G308)/60,2))</f>
        <v>0</v>
      </c>
      <c r="I308" s="40"/>
      <c r="J308" s="41" t="n">
        <f aca="false">IF($A308="",0,YEAR($A308))</f>
        <v>0</v>
      </c>
      <c r="K308" s="36" t="str">
        <f aca="false">IF($A308="","",INDEX(Monate,MONTH($A308)))</f>
        <v/>
      </c>
      <c r="L308" s="41" t="n">
        <f aca="false">IF($A308="",0,WEEKNUM($A308,2))</f>
        <v>0</v>
      </c>
    </row>
    <row r="309" customFormat="false" ht="15" hidden="false" customHeight="false" outlineLevel="0" collapsed="false">
      <c r="A309" s="42"/>
      <c r="B309" s="43"/>
      <c r="C309" s="43"/>
      <c r="D309" s="43"/>
      <c r="E309" s="44"/>
      <c r="F309" s="44"/>
      <c r="G309" s="45"/>
      <c r="H309" s="46" t="n">
        <f aca="false">IF(OR($E309="",$F309=""),0,ROUND(MOD($F309-$E309,1)*24-N($G309)/60,2))</f>
        <v>0</v>
      </c>
      <c r="I309" s="47"/>
      <c r="J309" s="48" t="n">
        <f aca="false">IF($A309="",0,YEAR($A309))</f>
        <v>0</v>
      </c>
      <c r="K309" s="43" t="str">
        <f aca="false">IF($A309="","",INDEX(Monate,MONTH($A309)))</f>
        <v/>
      </c>
      <c r="L309" s="48" t="n">
        <f aca="false">IF($A309="",0,WEEKNUM($A309,2))</f>
        <v>0</v>
      </c>
    </row>
    <row r="310" customFormat="false" ht="15" hidden="false" customHeight="false" outlineLevel="0" collapsed="false">
      <c r="A310" s="35"/>
      <c r="B310" s="36"/>
      <c r="C310" s="36"/>
      <c r="D310" s="36"/>
      <c r="E310" s="37"/>
      <c r="F310" s="37"/>
      <c r="G310" s="38"/>
      <c r="H310" s="39" t="n">
        <f aca="false">IF(OR($E310="",$F310=""),0,ROUND(MOD($F310-$E310,1)*24-N($G310)/60,2))</f>
        <v>0</v>
      </c>
      <c r="I310" s="40"/>
      <c r="J310" s="41" t="n">
        <f aca="false">IF($A310="",0,YEAR($A310))</f>
        <v>0</v>
      </c>
      <c r="K310" s="36" t="str">
        <f aca="false">IF($A310="","",INDEX(Monate,MONTH($A310)))</f>
        <v/>
      </c>
      <c r="L310" s="41" t="n">
        <f aca="false">IF($A310="",0,WEEKNUM($A310,2))</f>
        <v>0</v>
      </c>
    </row>
    <row r="311" customFormat="false" ht="15" hidden="false" customHeight="false" outlineLevel="0" collapsed="false">
      <c r="A311" s="42"/>
      <c r="B311" s="43"/>
      <c r="C311" s="43"/>
      <c r="D311" s="43"/>
      <c r="E311" s="44"/>
      <c r="F311" s="44"/>
      <c r="G311" s="45"/>
      <c r="H311" s="46" t="n">
        <f aca="false">IF(OR($E311="",$F311=""),0,ROUND(MOD($F311-$E311,1)*24-N($G311)/60,2))</f>
        <v>0</v>
      </c>
      <c r="I311" s="47"/>
      <c r="J311" s="48" t="n">
        <f aca="false">IF($A311="",0,YEAR($A311))</f>
        <v>0</v>
      </c>
      <c r="K311" s="43" t="str">
        <f aca="false">IF($A311="","",INDEX(Monate,MONTH($A311)))</f>
        <v/>
      </c>
      <c r="L311" s="48" t="n">
        <f aca="false">IF($A311="",0,WEEKNUM($A311,2))</f>
        <v>0</v>
      </c>
    </row>
    <row r="312" customFormat="false" ht="15" hidden="false" customHeight="false" outlineLevel="0" collapsed="false">
      <c r="A312" s="35"/>
      <c r="B312" s="36"/>
      <c r="C312" s="36"/>
      <c r="D312" s="36"/>
      <c r="E312" s="37"/>
      <c r="F312" s="37"/>
      <c r="G312" s="38"/>
      <c r="H312" s="39" t="n">
        <f aca="false">IF(OR($E312="",$F312=""),0,ROUND(MOD($F312-$E312,1)*24-N($G312)/60,2))</f>
        <v>0</v>
      </c>
      <c r="I312" s="40"/>
      <c r="J312" s="41" t="n">
        <f aca="false">IF($A312="",0,YEAR($A312))</f>
        <v>0</v>
      </c>
      <c r="K312" s="36" t="str">
        <f aca="false">IF($A312="","",INDEX(Monate,MONTH($A312)))</f>
        <v/>
      </c>
      <c r="L312" s="41" t="n">
        <f aca="false">IF($A312="",0,WEEKNUM($A312,2))</f>
        <v>0</v>
      </c>
    </row>
    <row r="313" customFormat="false" ht="15" hidden="false" customHeight="false" outlineLevel="0" collapsed="false">
      <c r="A313" s="42"/>
      <c r="B313" s="43"/>
      <c r="C313" s="43"/>
      <c r="D313" s="43"/>
      <c r="E313" s="44"/>
      <c r="F313" s="44"/>
      <c r="G313" s="45"/>
      <c r="H313" s="46" t="n">
        <f aca="false">IF(OR($E313="",$F313=""),0,ROUND(MOD($F313-$E313,1)*24-N($G313)/60,2))</f>
        <v>0</v>
      </c>
      <c r="I313" s="47"/>
      <c r="J313" s="48" t="n">
        <f aca="false">IF($A313="",0,YEAR($A313))</f>
        <v>0</v>
      </c>
      <c r="K313" s="43" t="str">
        <f aca="false">IF($A313="","",INDEX(Monate,MONTH($A313)))</f>
        <v/>
      </c>
      <c r="L313" s="48" t="n">
        <f aca="false">IF($A313="",0,WEEKNUM($A313,2))</f>
        <v>0</v>
      </c>
    </row>
    <row r="314" customFormat="false" ht="15" hidden="false" customHeight="false" outlineLevel="0" collapsed="false">
      <c r="A314" s="35"/>
      <c r="B314" s="36"/>
      <c r="C314" s="36"/>
      <c r="D314" s="36"/>
      <c r="E314" s="37"/>
      <c r="F314" s="37"/>
      <c r="G314" s="38"/>
      <c r="H314" s="39" t="n">
        <f aca="false">IF(OR($E314="",$F314=""),0,ROUND(MOD($F314-$E314,1)*24-N($G314)/60,2))</f>
        <v>0</v>
      </c>
      <c r="I314" s="40"/>
      <c r="J314" s="41" t="n">
        <f aca="false">IF($A314="",0,YEAR($A314))</f>
        <v>0</v>
      </c>
      <c r="K314" s="36" t="str">
        <f aca="false">IF($A314="","",INDEX(Monate,MONTH($A314)))</f>
        <v/>
      </c>
      <c r="L314" s="41" t="n">
        <f aca="false">IF($A314="",0,WEEKNUM($A314,2))</f>
        <v>0</v>
      </c>
    </row>
    <row r="315" customFormat="false" ht="15" hidden="false" customHeight="false" outlineLevel="0" collapsed="false">
      <c r="A315" s="42"/>
      <c r="B315" s="43"/>
      <c r="C315" s="43"/>
      <c r="D315" s="43"/>
      <c r="E315" s="44"/>
      <c r="F315" s="44"/>
      <c r="G315" s="45"/>
      <c r="H315" s="46" t="n">
        <f aca="false">IF(OR($E315="",$F315=""),0,ROUND(MOD($F315-$E315,1)*24-N($G315)/60,2))</f>
        <v>0</v>
      </c>
      <c r="I315" s="47"/>
      <c r="J315" s="48" t="n">
        <f aca="false">IF($A315="",0,YEAR($A315))</f>
        <v>0</v>
      </c>
      <c r="K315" s="43" t="str">
        <f aca="false">IF($A315="","",INDEX(Monate,MONTH($A315)))</f>
        <v/>
      </c>
      <c r="L315" s="48" t="n">
        <f aca="false">IF($A315="",0,WEEKNUM($A315,2))</f>
        <v>0</v>
      </c>
    </row>
    <row r="316" customFormat="false" ht="15" hidden="false" customHeight="false" outlineLevel="0" collapsed="false">
      <c r="A316" s="35"/>
      <c r="B316" s="36"/>
      <c r="C316" s="36"/>
      <c r="D316" s="36"/>
      <c r="E316" s="37"/>
      <c r="F316" s="37"/>
      <c r="G316" s="38"/>
      <c r="H316" s="39" t="n">
        <f aca="false">IF(OR($E316="",$F316=""),0,ROUND(MOD($F316-$E316,1)*24-N($G316)/60,2))</f>
        <v>0</v>
      </c>
      <c r="I316" s="40"/>
      <c r="J316" s="41" t="n">
        <f aca="false">IF($A316="",0,YEAR($A316))</f>
        <v>0</v>
      </c>
      <c r="K316" s="36" t="str">
        <f aca="false">IF($A316="","",INDEX(Monate,MONTH($A316)))</f>
        <v/>
      </c>
      <c r="L316" s="41" t="n">
        <f aca="false">IF($A316="",0,WEEKNUM($A316,2))</f>
        <v>0</v>
      </c>
    </row>
    <row r="317" customFormat="false" ht="15" hidden="false" customHeight="false" outlineLevel="0" collapsed="false">
      <c r="A317" s="42"/>
      <c r="B317" s="43"/>
      <c r="C317" s="43"/>
      <c r="D317" s="43"/>
      <c r="E317" s="44"/>
      <c r="F317" s="44"/>
      <c r="G317" s="45"/>
      <c r="H317" s="46" t="n">
        <f aca="false">IF(OR($E317="",$F317=""),0,ROUND(MOD($F317-$E317,1)*24-N($G317)/60,2))</f>
        <v>0</v>
      </c>
      <c r="I317" s="47"/>
      <c r="J317" s="48" t="n">
        <f aca="false">IF($A317="",0,YEAR($A317))</f>
        <v>0</v>
      </c>
      <c r="K317" s="43" t="str">
        <f aca="false">IF($A317="","",INDEX(Monate,MONTH($A317)))</f>
        <v/>
      </c>
      <c r="L317" s="48" t="n">
        <f aca="false">IF($A317="",0,WEEKNUM($A317,2))</f>
        <v>0</v>
      </c>
    </row>
    <row r="318" customFormat="false" ht="15" hidden="false" customHeight="false" outlineLevel="0" collapsed="false">
      <c r="A318" s="35"/>
      <c r="B318" s="36"/>
      <c r="C318" s="36"/>
      <c r="D318" s="36"/>
      <c r="E318" s="37"/>
      <c r="F318" s="37"/>
      <c r="G318" s="38"/>
      <c r="H318" s="39" t="n">
        <f aca="false">IF(OR($E318="",$F318=""),0,ROUND(MOD($F318-$E318,1)*24-N($G318)/60,2))</f>
        <v>0</v>
      </c>
      <c r="I318" s="40"/>
      <c r="J318" s="41" t="n">
        <f aca="false">IF($A318="",0,YEAR($A318))</f>
        <v>0</v>
      </c>
      <c r="K318" s="36" t="str">
        <f aca="false">IF($A318="","",INDEX(Monate,MONTH($A318)))</f>
        <v/>
      </c>
      <c r="L318" s="41" t="n">
        <f aca="false">IF($A318="",0,WEEKNUM($A318,2))</f>
        <v>0</v>
      </c>
    </row>
    <row r="319" customFormat="false" ht="15" hidden="false" customHeight="false" outlineLevel="0" collapsed="false">
      <c r="A319" s="42"/>
      <c r="B319" s="43"/>
      <c r="C319" s="43"/>
      <c r="D319" s="43"/>
      <c r="E319" s="44"/>
      <c r="F319" s="44"/>
      <c r="G319" s="45"/>
      <c r="H319" s="46" t="n">
        <f aca="false">IF(OR($E319="",$F319=""),0,ROUND(MOD($F319-$E319,1)*24-N($G319)/60,2))</f>
        <v>0</v>
      </c>
      <c r="I319" s="47"/>
      <c r="J319" s="48" t="n">
        <f aca="false">IF($A319="",0,YEAR($A319))</f>
        <v>0</v>
      </c>
      <c r="K319" s="43" t="str">
        <f aca="false">IF($A319="","",INDEX(Monate,MONTH($A319)))</f>
        <v/>
      </c>
      <c r="L319" s="48" t="n">
        <f aca="false">IF($A319="",0,WEEKNUM($A319,2))</f>
        <v>0</v>
      </c>
    </row>
    <row r="320" customFormat="false" ht="15" hidden="false" customHeight="false" outlineLevel="0" collapsed="false">
      <c r="A320" s="35"/>
      <c r="B320" s="36"/>
      <c r="C320" s="36"/>
      <c r="D320" s="36"/>
      <c r="E320" s="37"/>
      <c r="F320" s="37"/>
      <c r="G320" s="38"/>
      <c r="H320" s="39" t="n">
        <f aca="false">IF(OR($E320="",$F320=""),0,ROUND(MOD($F320-$E320,1)*24-N($G320)/60,2))</f>
        <v>0</v>
      </c>
      <c r="I320" s="40"/>
      <c r="J320" s="41" t="n">
        <f aca="false">IF($A320="",0,YEAR($A320))</f>
        <v>0</v>
      </c>
      <c r="K320" s="36" t="str">
        <f aca="false">IF($A320="","",INDEX(Monate,MONTH($A320)))</f>
        <v/>
      </c>
      <c r="L320" s="41" t="n">
        <f aca="false">IF($A320="",0,WEEKNUM($A320,2))</f>
        <v>0</v>
      </c>
    </row>
    <row r="321" customFormat="false" ht="15" hidden="false" customHeight="false" outlineLevel="0" collapsed="false">
      <c r="A321" s="42"/>
      <c r="B321" s="43"/>
      <c r="C321" s="43"/>
      <c r="D321" s="43"/>
      <c r="E321" s="44"/>
      <c r="F321" s="44"/>
      <c r="G321" s="45"/>
      <c r="H321" s="46" t="n">
        <f aca="false">IF(OR($E321="",$F321=""),0,ROUND(MOD($F321-$E321,1)*24-N($G321)/60,2))</f>
        <v>0</v>
      </c>
      <c r="I321" s="47"/>
      <c r="J321" s="48" t="n">
        <f aca="false">IF($A321="",0,YEAR($A321))</f>
        <v>0</v>
      </c>
      <c r="K321" s="43" t="str">
        <f aca="false">IF($A321="","",INDEX(Monate,MONTH($A321)))</f>
        <v/>
      </c>
      <c r="L321" s="48" t="n">
        <f aca="false">IF($A321="",0,WEEKNUM($A321,2))</f>
        <v>0</v>
      </c>
    </row>
    <row r="322" customFormat="false" ht="15" hidden="false" customHeight="false" outlineLevel="0" collapsed="false">
      <c r="A322" s="35"/>
      <c r="B322" s="36"/>
      <c r="C322" s="36"/>
      <c r="D322" s="36"/>
      <c r="E322" s="37"/>
      <c r="F322" s="37"/>
      <c r="G322" s="38"/>
      <c r="H322" s="39" t="n">
        <f aca="false">IF(OR($E322="",$F322=""),0,ROUND(MOD($F322-$E322,1)*24-N($G322)/60,2))</f>
        <v>0</v>
      </c>
      <c r="I322" s="40"/>
      <c r="J322" s="41" t="n">
        <f aca="false">IF($A322="",0,YEAR($A322))</f>
        <v>0</v>
      </c>
      <c r="K322" s="36" t="str">
        <f aca="false">IF($A322="","",INDEX(Monate,MONTH($A322)))</f>
        <v/>
      </c>
      <c r="L322" s="41" t="n">
        <f aca="false">IF($A322="",0,WEEKNUM($A322,2))</f>
        <v>0</v>
      </c>
    </row>
    <row r="323" customFormat="false" ht="15" hidden="false" customHeight="false" outlineLevel="0" collapsed="false">
      <c r="A323" s="42"/>
      <c r="B323" s="43"/>
      <c r="C323" s="43"/>
      <c r="D323" s="43"/>
      <c r="E323" s="44"/>
      <c r="F323" s="44"/>
      <c r="G323" s="45"/>
      <c r="H323" s="46" t="n">
        <f aca="false">IF(OR($E323="",$F323=""),0,ROUND(MOD($F323-$E323,1)*24-N($G323)/60,2))</f>
        <v>0</v>
      </c>
      <c r="I323" s="47"/>
      <c r="J323" s="48" t="n">
        <f aca="false">IF($A323="",0,YEAR($A323))</f>
        <v>0</v>
      </c>
      <c r="K323" s="43" t="str">
        <f aca="false">IF($A323="","",INDEX(Monate,MONTH($A323)))</f>
        <v/>
      </c>
      <c r="L323" s="48" t="n">
        <f aca="false">IF($A323="",0,WEEKNUM($A323,2))</f>
        <v>0</v>
      </c>
    </row>
    <row r="324" customFormat="false" ht="15" hidden="false" customHeight="false" outlineLevel="0" collapsed="false">
      <c r="A324" s="35"/>
      <c r="B324" s="36"/>
      <c r="C324" s="36"/>
      <c r="D324" s="36"/>
      <c r="E324" s="37"/>
      <c r="F324" s="37"/>
      <c r="G324" s="38"/>
      <c r="H324" s="39" t="n">
        <f aca="false">IF(OR($E324="",$F324=""),0,ROUND(MOD($F324-$E324,1)*24-N($G324)/60,2))</f>
        <v>0</v>
      </c>
      <c r="I324" s="40"/>
      <c r="J324" s="41" t="n">
        <f aca="false">IF($A324="",0,YEAR($A324))</f>
        <v>0</v>
      </c>
      <c r="K324" s="36" t="str">
        <f aca="false">IF($A324="","",INDEX(Monate,MONTH($A324)))</f>
        <v/>
      </c>
      <c r="L324" s="41" t="n">
        <f aca="false">IF($A324="",0,WEEKNUM($A324,2))</f>
        <v>0</v>
      </c>
    </row>
    <row r="325" customFormat="false" ht="15" hidden="false" customHeight="false" outlineLevel="0" collapsed="false">
      <c r="A325" s="42"/>
      <c r="B325" s="43"/>
      <c r="C325" s="43"/>
      <c r="D325" s="43"/>
      <c r="E325" s="44"/>
      <c r="F325" s="44"/>
      <c r="G325" s="45"/>
      <c r="H325" s="46" t="n">
        <f aca="false">IF(OR($E325="",$F325=""),0,ROUND(MOD($F325-$E325,1)*24-N($G325)/60,2))</f>
        <v>0</v>
      </c>
      <c r="I325" s="47"/>
      <c r="J325" s="48" t="n">
        <f aca="false">IF($A325="",0,YEAR($A325))</f>
        <v>0</v>
      </c>
      <c r="K325" s="43" t="str">
        <f aca="false">IF($A325="","",INDEX(Monate,MONTH($A325)))</f>
        <v/>
      </c>
      <c r="L325" s="48" t="n">
        <f aca="false">IF($A325="",0,WEEKNUM($A325,2))</f>
        <v>0</v>
      </c>
    </row>
    <row r="326" customFormat="false" ht="15" hidden="false" customHeight="false" outlineLevel="0" collapsed="false">
      <c r="A326" s="35"/>
      <c r="B326" s="36"/>
      <c r="C326" s="36"/>
      <c r="D326" s="36"/>
      <c r="E326" s="37"/>
      <c r="F326" s="37"/>
      <c r="G326" s="38"/>
      <c r="H326" s="39" t="n">
        <f aca="false">IF(OR($E326="",$F326=""),0,ROUND(MOD($F326-$E326,1)*24-N($G326)/60,2))</f>
        <v>0</v>
      </c>
      <c r="I326" s="40"/>
      <c r="J326" s="41" t="n">
        <f aca="false">IF($A326="",0,YEAR($A326))</f>
        <v>0</v>
      </c>
      <c r="K326" s="36" t="str">
        <f aca="false">IF($A326="","",INDEX(Monate,MONTH($A326)))</f>
        <v/>
      </c>
      <c r="L326" s="41" t="n">
        <f aca="false">IF($A326="",0,WEEKNUM($A326,2))</f>
        <v>0</v>
      </c>
    </row>
    <row r="327" customFormat="false" ht="15" hidden="false" customHeight="false" outlineLevel="0" collapsed="false">
      <c r="A327" s="42"/>
      <c r="B327" s="43"/>
      <c r="C327" s="43"/>
      <c r="D327" s="43"/>
      <c r="E327" s="44"/>
      <c r="F327" s="44"/>
      <c r="G327" s="45"/>
      <c r="H327" s="46" t="n">
        <f aca="false">IF(OR($E327="",$F327=""),0,ROUND(MOD($F327-$E327,1)*24-N($G327)/60,2))</f>
        <v>0</v>
      </c>
      <c r="I327" s="47"/>
      <c r="J327" s="48" t="n">
        <f aca="false">IF($A327="",0,YEAR($A327))</f>
        <v>0</v>
      </c>
      <c r="K327" s="43" t="str">
        <f aca="false">IF($A327="","",INDEX(Monate,MONTH($A327)))</f>
        <v/>
      </c>
      <c r="L327" s="48" t="n">
        <f aca="false">IF($A327="",0,WEEKNUM($A327,2))</f>
        <v>0</v>
      </c>
    </row>
    <row r="328" customFormat="false" ht="15" hidden="false" customHeight="false" outlineLevel="0" collapsed="false">
      <c r="A328" s="35"/>
      <c r="B328" s="36"/>
      <c r="C328" s="36"/>
      <c r="D328" s="36"/>
      <c r="E328" s="37"/>
      <c r="F328" s="37"/>
      <c r="G328" s="38"/>
      <c r="H328" s="39" t="n">
        <f aca="false">IF(OR($E328="",$F328=""),0,ROUND(MOD($F328-$E328,1)*24-N($G328)/60,2))</f>
        <v>0</v>
      </c>
      <c r="I328" s="40"/>
      <c r="J328" s="41" t="n">
        <f aca="false">IF($A328="",0,YEAR($A328))</f>
        <v>0</v>
      </c>
      <c r="K328" s="36" t="str">
        <f aca="false">IF($A328="","",INDEX(Monate,MONTH($A328)))</f>
        <v/>
      </c>
      <c r="L328" s="41" t="n">
        <f aca="false">IF($A328="",0,WEEKNUM($A328,2))</f>
        <v>0</v>
      </c>
    </row>
    <row r="329" customFormat="false" ht="15" hidden="false" customHeight="false" outlineLevel="0" collapsed="false">
      <c r="A329" s="42"/>
      <c r="B329" s="43"/>
      <c r="C329" s="43"/>
      <c r="D329" s="43"/>
      <c r="E329" s="44"/>
      <c r="F329" s="44"/>
      <c r="G329" s="45"/>
      <c r="H329" s="46" t="n">
        <f aca="false">IF(OR($E329="",$F329=""),0,ROUND(MOD($F329-$E329,1)*24-N($G329)/60,2))</f>
        <v>0</v>
      </c>
      <c r="I329" s="47"/>
      <c r="J329" s="48" t="n">
        <f aca="false">IF($A329="",0,YEAR($A329))</f>
        <v>0</v>
      </c>
      <c r="K329" s="43" t="str">
        <f aca="false">IF($A329="","",INDEX(Monate,MONTH($A329)))</f>
        <v/>
      </c>
      <c r="L329" s="48" t="n">
        <f aca="false">IF($A329="",0,WEEKNUM($A329,2))</f>
        <v>0</v>
      </c>
    </row>
    <row r="330" customFormat="false" ht="15" hidden="false" customHeight="false" outlineLevel="0" collapsed="false">
      <c r="A330" s="35"/>
      <c r="B330" s="36"/>
      <c r="C330" s="36"/>
      <c r="D330" s="36"/>
      <c r="E330" s="37"/>
      <c r="F330" s="37"/>
      <c r="G330" s="38"/>
      <c r="H330" s="39" t="n">
        <f aca="false">IF(OR($E330="",$F330=""),0,ROUND(MOD($F330-$E330,1)*24-N($G330)/60,2))</f>
        <v>0</v>
      </c>
      <c r="I330" s="40"/>
      <c r="J330" s="41" t="n">
        <f aca="false">IF($A330="",0,YEAR($A330))</f>
        <v>0</v>
      </c>
      <c r="K330" s="36" t="str">
        <f aca="false">IF($A330="","",INDEX(Monate,MONTH($A330)))</f>
        <v/>
      </c>
      <c r="L330" s="41" t="n">
        <f aca="false">IF($A330="",0,WEEKNUM($A330,2))</f>
        <v>0</v>
      </c>
    </row>
    <row r="331" customFormat="false" ht="15" hidden="false" customHeight="false" outlineLevel="0" collapsed="false">
      <c r="A331" s="42"/>
      <c r="B331" s="43"/>
      <c r="C331" s="43"/>
      <c r="D331" s="43"/>
      <c r="E331" s="44"/>
      <c r="F331" s="44"/>
      <c r="G331" s="45"/>
      <c r="H331" s="46" t="n">
        <f aca="false">IF(OR($E331="",$F331=""),0,ROUND(MOD($F331-$E331,1)*24-N($G331)/60,2))</f>
        <v>0</v>
      </c>
      <c r="I331" s="47"/>
      <c r="J331" s="48" t="n">
        <f aca="false">IF($A331="",0,YEAR($A331))</f>
        <v>0</v>
      </c>
      <c r="K331" s="43" t="str">
        <f aca="false">IF($A331="","",INDEX(Monate,MONTH($A331)))</f>
        <v/>
      </c>
      <c r="L331" s="48" t="n">
        <f aca="false">IF($A331="",0,WEEKNUM($A331,2))</f>
        <v>0</v>
      </c>
    </row>
    <row r="332" customFormat="false" ht="15" hidden="false" customHeight="false" outlineLevel="0" collapsed="false">
      <c r="A332" s="35"/>
      <c r="B332" s="36"/>
      <c r="C332" s="36"/>
      <c r="D332" s="36"/>
      <c r="E332" s="37"/>
      <c r="F332" s="37"/>
      <c r="G332" s="38"/>
      <c r="H332" s="39" t="n">
        <f aca="false">IF(OR($E332="",$F332=""),0,ROUND(MOD($F332-$E332,1)*24-N($G332)/60,2))</f>
        <v>0</v>
      </c>
      <c r="I332" s="40"/>
      <c r="J332" s="41" t="n">
        <f aca="false">IF($A332="",0,YEAR($A332))</f>
        <v>0</v>
      </c>
      <c r="K332" s="36" t="str">
        <f aca="false">IF($A332="","",INDEX(Monate,MONTH($A332)))</f>
        <v/>
      </c>
      <c r="L332" s="41" t="n">
        <f aca="false">IF($A332="",0,WEEKNUM($A332,2))</f>
        <v>0</v>
      </c>
    </row>
    <row r="333" customFormat="false" ht="15" hidden="false" customHeight="false" outlineLevel="0" collapsed="false">
      <c r="A333" s="42"/>
      <c r="B333" s="43"/>
      <c r="C333" s="43"/>
      <c r="D333" s="43"/>
      <c r="E333" s="44"/>
      <c r="F333" s="44"/>
      <c r="G333" s="45"/>
      <c r="H333" s="46" t="n">
        <f aca="false">IF(OR($E333="",$F333=""),0,ROUND(MOD($F333-$E333,1)*24-N($G333)/60,2))</f>
        <v>0</v>
      </c>
      <c r="I333" s="47"/>
      <c r="J333" s="48" t="n">
        <f aca="false">IF($A333="",0,YEAR($A333))</f>
        <v>0</v>
      </c>
      <c r="K333" s="43" t="str">
        <f aca="false">IF($A333="","",INDEX(Monate,MONTH($A333)))</f>
        <v/>
      </c>
      <c r="L333" s="48" t="n">
        <f aca="false">IF($A333="",0,WEEKNUM($A333,2))</f>
        <v>0</v>
      </c>
    </row>
    <row r="334" customFormat="false" ht="15" hidden="false" customHeight="false" outlineLevel="0" collapsed="false">
      <c r="A334" s="35"/>
      <c r="B334" s="36"/>
      <c r="C334" s="36"/>
      <c r="D334" s="36"/>
      <c r="E334" s="37"/>
      <c r="F334" s="37"/>
      <c r="G334" s="38"/>
      <c r="H334" s="39" t="n">
        <f aca="false">IF(OR($E334="",$F334=""),0,ROUND(MOD($F334-$E334,1)*24-N($G334)/60,2))</f>
        <v>0</v>
      </c>
      <c r="I334" s="40"/>
      <c r="J334" s="41" t="n">
        <f aca="false">IF($A334="",0,YEAR($A334))</f>
        <v>0</v>
      </c>
      <c r="K334" s="36" t="str">
        <f aca="false">IF($A334="","",INDEX(Monate,MONTH($A334)))</f>
        <v/>
      </c>
      <c r="L334" s="41" t="n">
        <f aca="false">IF($A334="",0,WEEKNUM($A334,2))</f>
        <v>0</v>
      </c>
    </row>
    <row r="335" customFormat="false" ht="15" hidden="false" customHeight="false" outlineLevel="0" collapsed="false">
      <c r="A335" s="42"/>
      <c r="B335" s="43"/>
      <c r="C335" s="43"/>
      <c r="D335" s="43"/>
      <c r="E335" s="44"/>
      <c r="F335" s="44"/>
      <c r="G335" s="45"/>
      <c r="H335" s="46" t="n">
        <f aca="false">IF(OR($E335="",$F335=""),0,ROUND(MOD($F335-$E335,1)*24-N($G335)/60,2))</f>
        <v>0</v>
      </c>
      <c r="I335" s="47"/>
      <c r="J335" s="48" t="n">
        <f aca="false">IF($A335="",0,YEAR($A335))</f>
        <v>0</v>
      </c>
      <c r="K335" s="43" t="str">
        <f aca="false">IF($A335="","",INDEX(Monate,MONTH($A335)))</f>
        <v/>
      </c>
      <c r="L335" s="48" t="n">
        <f aca="false">IF($A335="",0,WEEKNUM($A335,2))</f>
        <v>0</v>
      </c>
    </row>
    <row r="336" customFormat="false" ht="15" hidden="false" customHeight="false" outlineLevel="0" collapsed="false">
      <c r="A336" s="35"/>
      <c r="B336" s="36"/>
      <c r="C336" s="36"/>
      <c r="D336" s="36"/>
      <c r="E336" s="37"/>
      <c r="F336" s="37"/>
      <c r="G336" s="38"/>
      <c r="H336" s="39" t="n">
        <f aca="false">IF(OR($E336="",$F336=""),0,ROUND(MOD($F336-$E336,1)*24-N($G336)/60,2))</f>
        <v>0</v>
      </c>
      <c r="I336" s="40"/>
      <c r="J336" s="41" t="n">
        <f aca="false">IF($A336="",0,YEAR($A336))</f>
        <v>0</v>
      </c>
      <c r="K336" s="36" t="str">
        <f aca="false">IF($A336="","",INDEX(Monate,MONTH($A336)))</f>
        <v/>
      </c>
      <c r="L336" s="41" t="n">
        <f aca="false">IF($A336="",0,WEEKNUM($A336,2))</f>
        <v>0</v>
      </c>
    </row>
    <row r="337" customFormat="false" ht="15" hidden="false" customHeight="false" outlineLevel="0" collapsed="false">
      <c r="A337" s="42"/>
      <c r="B337" s="43"/>
      <c r="C337" s="43"/>
      <c r="D337" s="43"/>
      <c r="E337" s="44"/>
      <c r="F337" s="44"/>
      <c r="G337" s="45"/>
      <c r="H337" s="46" t="n">
        <f aca="false">IF(OR($E337="",$F337=""),0,ROUND(MOD($F337-$E337,1)*24-N($G337)/60,2))</f>
        <v>0</v>
      </c>
      <c r="I337" s="47"/>
      <c r="J337" s="48" t="n">
        <f aca="false">IF($A337="",0,YEAR($A337))</f>
        <v>0</v>
      </c>
      <c r="K337" s="43" t="str">
        <f aca="false">IF($A337="","",INDEX(Monate,MONTH($A337)))</f>
        <v/>
      </c>
      <c r="L337" s="48" t="n">
        <f aca="false">IF($A337="",0,WEEKNUM($A337,2))</f>
        <v>0</v>
      </c>
    </row>
    <row r="338" customFormat="false" ht="15" hidden="false" customHeight="false" outlineLevel="0" collapsed="false">
      <c r="A338" s="35"/>
      <c r="B338" s="36"/>
      <c r="C338" s="36"/>
      <c r="D338" s="36"/>
      <c r="E338" s="37"/>
      <c r="F338" s="37"/>
      <c r="G338" s="38"/>
      <c r="H338" s="39" t="n">
        <f aca="false">IF(OR($E338="",$F338=""),0,ROUND(MOD($F338-$E338,1)*24-N($G338)/60,2))</f>
        <v>0</v>
      </c>
      <c r="I338" s="40"/>
      <c r="J338" s="41" t="n">
        <f aca="false">IF($A338="",0,YEAR($A338))</f>
        <v>0</v>
      </c>
      <c r="K338" s="36" t="str">
        <f aca="false">IF($A338="","",INDEX(Monate,MONTH($A338)))</f>
        <v/>
      </c>
      <c r="L338" s="41" t="n">
        <f aca="false">IF($A338="",0,WEEKNUM($A338,2))</f>
        <v>0</v>
      </c>
    </row>
    <row r="339" customFormat="false" ht="15" hidden="false" customHeight="false" outlineLevel="0" collapsed="false">
      <c r="A339" s="42"/>
      <c r="B339" s="43"/>
      <c r="C339" s="43"/>
      <c r="D339" s="43"/>
      <c r="E339" s="44"/>
      <c r="F339" s="44"/>
      <c r="G339" s="45"/>
      <c r="H339" s="46" t="n">
        <f aca="false">IF(OR($E339="",$F339=""),0,ROUND(MOD($F339-$E339,1)*24-N($G339)/60,2))</f>
        <v>0</v>
      </c>
      <c r="I339" s="47"/>
      <c r="J339" s="48" t="n">
        <f aca="false">IF($A339="",0,YEAR($A339))</f>
        <v>0</v>
      </c>
      <c r="K339" s="43" t="str">
        <f aca="false">IF($A339="","",INDEX(Monate,MONTH($A339)))</f>
        <v/>
      </c>
      <c r="L339" s="48" t="n">
        <f aca="false">IF($A339="",0,WEEKNUM($A339,2))</f>
        <v>0</v>
      </c>
    </row>
    <row r="340" customFormat="false" ht="15" hidden="false" customHeight="false" outlineLevel="0" collapsed="false">
      <c r="A340" s="35"/>
      <c r="B340" s="36"/>
      <c r="C340" s="36"/>
      <c r="D340" s="36"/>
      <c r="E340" s="37"/>
      <c r="F340" s="37"/>
      <c r="G340" s="38"/>
      <c r="H340" s="39" t="n">
        <f aca="false">IF(OR($E340="",$F340=""),0,ROUND(MOD($F340-$E340,1)*24-N($G340)/60,2))</f>
        <v>0</v>
      </c>
      <c r="I340" s="40"/>
      <c r="J340" s="41" t="n">
        <f aca="false">IF($A340="",0,YEAR($A340))</f>
        <v>0</v>
      </c>
      <c r="K340" s="36" t="str">
        <f aca="false">IF($A340="","",INDEX(Monate,MONTH($A340)))</f>
        <v/>
      </c>
      <c r="L340" s="41" t="n">
        <f aca="false">IF($A340="",0,WEEKNUM($A340,2))</f>
        <v>0</v>
      </c>
    </row>
    <row r="341" customFormat="false" ht="15" hidden="false" customHeight="false" outlineLevel="0" collapsed="false">
      <c r="A341" s="42"/>
      <c r="B341" s="43"/>
      <c r="C341" s="43"/>
      <c r="D341" s="43"/>
      <c r="E341" s="44"/>
      <c r="F341" s="44"/>
      <c r="G341" s="45"/>
      <c r="H341" s="46" t="n">
        <f aca="false">IF(OR($E341="",$F341=""),0,ROUND(MOD($F341-$E341,1)*24-N($G341)/60,2))</f>
        <v>0</v>
      </c>
      <c r="I341" s="47"/>
      <c r="J341" s="48" t="n">
        <f aca="false">IF($A341="",0,YEAR($A341))</f>
        <v>0</v>
      </c>
      <c r="K341" s="43" t="str">
        <f aca="false">IF($A341="","",INDEX(Monate,MONTH($A341)))</f>
        <v/>
      </c>
      <c r="L341" s="48" t="n">
        <f aca="false">IF($A341="",0,WEEKNUM($A341,2))</f>
        <v>0</v>
      </c>
    </row>
    <row r="342" customFormat="false" ht="15" hidden="false" customHeight="false" outlineLevel="0" collapsed="false">
      <c r="A342" s="35"/>
      <c r="B342" s="36"/>
      <c r="C342" s="36"/>
      <c r="D342" s="36"/>
      <c r="E342" s="37"/>
      <c r="F342" s="37"/>
      <c r="G342" s="38"/>
      <c r="H342" s="39" t="n">
        <f aca="false">IF(OR($E342="",$F342=""),0,ROUND(MOD($F342-$E342,1)*24-N($G342)/60,2))</f>
        <v>0</v>
      </c>
      <c r="I342" s="40"/>
      <c r="J342" s="41" t="n">
        <f aca="false">IF($A342="",0,YEAR($A342))</f>
        <v>0</v>
      </c>
      <c r="K342" s="36" t="str">
        <f aca="false">IF($A342="","",INDEX(Monate,MONTH($A342)))</f>
        <v/>
      </c>
      <c r="L342" s="41" t="n">
        <f aca="false">IF($A342="",0,WEEKNUM($A342,2))</f>
        <v>0</v>
      </c>
    </row>
    <row r="343" customFormat="false" ht="15" hidden="false" customHeight="false" outlineLevel="0" collapsed="false">
      <c r="A343" s="42"/>
      <c r="B343" s="43"/>
      <c r="C343" s="43"/>
      <c r="D343" s="43"/>
      <c r="E343" s="44"/>
      <c r="F343" s="44"/>
      <c r="G343" s="45"/>
      <c r="H343" s="46" t="n">
        <f aca="false">IF(OR($E343="",$F343=""),0,ROUND(MOD($F343-$E343,1)*24-N($G343)/60,2))</f>
        <v>0</v>
      </c>
      <c r="I343" s="47"/>
      <c r="J343" s="48" t="n">
        <f aca="false">IF($A343="",0,YEAR($A343))</f>
        <v>0</v>
      </c>
      <c r="K343" s="43" t="str">
        <f aca="false">IF($A343="","",INDEX(Monate,MONTH($A343)))</f>
        <v/>
      </c>
      <c r="L343" s="48" t="n">
        <f aca="false">IF($A343="",0,WEEKNUM($A343,2))</f>
        <v>0</v>
      </c>
    </row>
    <row r="344" customFormat="false" ht="15" hidden="false" customHeight="false" outlineLevel="0" collapsed="false">
      <c r="A344" s="35"/>
      <c r="B344" s="36"/>
      <c r="C344" s="36"/>
      <c r="D344" s="36"/>
      <c r="E344" s="37"/>
      <c r="F344" s="37"/>
      <c r="G344" s="38"/>
      <c r="H344" s="39" t="n">
        <f aca="false">IF(OR($E344="",$F344=""),0,ROUND(MOD($F344-$E344,1)*24-N($G344)/60,2))</f>
        <v>0</v>
      </c>
      <c r="I344" s="40"/>
      <c r="J344" s="41" t="n">
        <f aca="false">IF($A344="",0,YEAR($A344))</f>
        <v>0</v>
      </c>
      <c r="K344" s="36" t="str">
        <f aca="false">IF($A344="","",INDEX(Monate,MONTH($A344)))</f>
        <v/>
      </c>
      <c r="L344" s="41" t="n">
        <f aca="false">IF($A344="",0,WEEKNUM($A344,2))</f>
        <v>0</v>
      </c>
    </row>
    <row r="345" customFormat="false" ht="15" hidden="false" customHeight="false" outlineLevel="0" collapsed="false">
      <c r="A345" s="42"/>
      <c r="B345" s="43"/>
      <c r="C345" s="43"/>
      <c r="D345" s="43"/>
      <c r="E345" s="44"/>
      <c r="F345" s="44"/>
      <c r="G345" s="45"/>
      <c r="H345" s="46" t="n">
        <f aca="false">IF(OR($E345="",$F345=""),0,ROUND(MOD($F345-$E345,1)*24-N($G345)/60,2))</f>
        <v>0</v>
      </c>
      <c r="I345" s="47"/>
      <c r="J345" s="48" t="n">
        <f aca="false">IF($A345="",0,YEAR($A345))</f>
        <v>0</v>
      </c>
      <c r="K345" s="43" t="str">
        <f aca="false">IF($A345="","",INDEX(Monate,MONTH($A345)))</f>
        <v/>
      </c>
      <c r="L345" s="48" t="n">
        <f aca="false">IF($A345="",0,WEEKNUM($A345,2))</f>
        <v>0</v>
      </c>
    </row>
    <row r="346" customFormat="false" ht="15" hidden="false" customHeight="false" outlineLevel="0" collapsed="false">
      <c r="A346" s="35"/>
      <c r="B346" s="36"/>
      <c r="C346" s="36"/>
      <c r="D346" s="36"/>
      <c r="E346" s="37"/>
      <c r="F346" s="37"/>
      <c r="G346" s="38"/>
      <c r="H346" s="39" t="n">
        <f aca="false">IF(OR($E346="",$F346=""),0,ROUND(MOD($F346-$E346,1)*24-N($G346)/60,2))</f>
        <v>0</v>
      </c>
      <c r="I346" s="40"/>
      <c r="J346" s="41" t="n">
        <f aca="false">IF($A346="",0,YEAR($A346))</f>
        <v>0</v>
      </c>
      <c r="K346" s="36" t="str">
        <f aca="false">IF($A346="","",INDEX(Monate,MONTH($A346)))</f>
        <v/>
      </c>
      <c r="L346" s="41" t="n">
        <f aca="false">IF($A346="",0,WEEKNUM($A346,2))</f>
        <v>0</v>
      </c>
    </row>
    <row r="347" customFormat="false" ht="15" hidden="false" customHeight="false" outlineLevel="0" collapsed="false">
      <c r="A347" s="42"/>
      <c r="B347" s="43"/>
      <c r="C347" s="43"/>
      <c r="D347" s="43"/>
      <c r="E347" s="44"/>
      <c r="F347" s="44"/>
      <c r="G347" s="45"/>
      <c r="H347" s="46" t="n">
        <f aca="false">IF(OR($E347="",$F347=""),0,ROUND(MOD($F347-$E347,1)*24-N($G347)/60,2))</f>
        <v>0</v>
      </c>
      <c r="I347" s="47"/>
      <c r="J347" s="48" t="n">
        <f aca="false">IF($A347="",0,YEAR($A347))</f>
        <v>0</v>
      </c>
      <c r="K347" s="43" t="str">
        <f aca="false">IF($A347="","",INDEX(Monate,MONTH($A347)))</f>
        <v/>
      </c>
      <c r="L347" s="48" t="n">
        <f aca="false">IF($A347="",0,WEEKNUM($A347,2))</f>
        <v>0</v>
      </c>
    </row>
    <row r="348" customFormat="false" ht="15" hidden="false" customHeight="false" outlineLevel="0" collapsed="false">
      <c r="A348" s="35"/>
      <c r="B348" s="36"/>
      <c r="C348" s="36"/>
      <c r="D348" s="36"/>
      <c r="E348" s="37"/>
      <c r="F348" s="37"/>
      <c r="G348" s="38"/>
      <c r="H348" s="39" t="n">
        <f aca="false">IF(OR($E348="",$F348=""),0,ROUND(MOD($F348-$E348,1)*24-N($G348)/60,2))</f>
        <v>0</v>
      </c>
      <c r="I348" s="40"/>
      <c r="J348" s="41" t="n">
        <f aca="false">IF($A348="",0,YEAR($A348))</f>
        <v>0</v>
      </c>
      <c r="K348" s="36" t="str">
        <f aca="false">IF($A348="","",INDEX(Monate,MONTH($A348)))</f>
        <v/>
      </c>
      <c r="L348" s="41" t="n">
        <f aca="false">IF($A348="",0,WEEKNUM($A348,2))</f>
        <v>0</v>
      </c>
    </row>
    <row r="349" customFormat="false" ht="15" hidden="false" customHeight="false" outlineLevel="0" collapsed="false">
      <c r="A349" s="42"/>
      <c r="B349" s="43"/>
      <c r="C349" s="43"/>
      <c r="D349" s="43"/>
      <c r="E349" s="44"/>
      <c r="F349" s="44"/>
      <c r="G349" s="45"/>
      <c r="H349" s="46" t="n">
        <f aca="false">IF(OR($E349="",$F349=""),0,ROUND(MOD($F349-$E349,1)*24-N($G349)/60,2))</f>
        <v>0</v>
      </c>
      <c r="I349" s="47"/>
      <c r="J349" s="48" t="n">
        <f aca="false">IF($A349="",0,YEAR($A349))</f>
        <v>0</v>
      </c>
      <c r="K349" s="43" t="str">
        <f aca="false">IF($A349="","",INDEX(Monate,MONTH($A349)))</f>
        <v/>
      </c>
      <c r="L349" s="48" t="n">
        <f aca="false">IF($A349="",0,WEEKNUM($A349,2))</f>
        <v>0</v>
      </c>
    </row>
    <row r="350" customFormat="false" ht="15" hidden="false" customHeight="false" outlineLevel="0" collapsed="false">
      <c r="A350" s="35"/>
      <c r="B350" s="36"/>
      <c r="C350" s="36"/>
      <c r="D350" s="36"/>
      <c r="E350" s="37"/>
      <c r="F350" s="37"/>
      <c r="G350" s="38"/>
      <c r="H350" s="39" t="n">
        <f aca="false">IF(OR($E350="",$F350=""),0,ROUND(MOD($F350-$E350,1)*24-N($G350)/60,2))</f>
        <v>0</v>
      </c>
      <c r="I350" s="40"/>
      <c r="J350" s="41" t="n">
        <f aca="false">IF($A350="",0,YEAR($A350))</f>
        <v>0</v>
      </c>
      <c r="K350" s="36" t="str">
        <f aca="false">IF($A350="","",INDEX(Monate,MONTH($A350)))</f>
        <v/>
      </c>
      <c r="L350" s="41" t="n">
        <f aca="false">IF($A350="",0,WEEKNUM($A350,2))</f>
        <v>0</v>
      </c>
    </row>
    <row r="351" customFormat="false" ht="15" hidden="false" customHeight="false" outlineLevel="0" collapsed="false">
      <c r="A351" s="42"/>
      <c r="B351" s="43"/>
      <c r="C351" s="43"/>
      <c r="D351" s="43"/>
      <c r="E351" s="44"/>
      <c r="F351" s="44"/>
      <c r="G351" s="45"/>
      <c r="H351" s="46" t="n">
        <f aca="false">IF(OR($E351="",$F351=""),0,ROUND(MOD($F351-$E351,1)*24-N($G351)/60,2))</f>
        <v>0</v>
      </c>
      <c r="I351" s="47"/>
      <c r="J351" s="48" t="n">
        <f aca="false">IF($A351="",0,YEAR($A351))</f>
        <v>0</v>
      </c>
      <c r="K351" s="43" t="str">
        <f aca="false">IF($A351="","",INDEX(Monate,MONTH($A351)))</f>
        <v/>
      </c>
      <c r="L351" s="48" t="n">
        <f aca="false">IF($A351="",0,WEEKNUM($A351,2))</f>
        <v>0</v>
      </c>
    </row>
    <row r="352" customFormat="false" ht="15" hidden="false" customHeight="false" outlineLevel="0" collapsed="false">
      <c r="A352" s="35"/>
      <c r="B352" s="36"/>
      <c r="C352" s="36"/>
      <c r="D352" s="36"/>
      <c r="E352" s="37"/>
      <c r="F352" s="37"/>
      <c r="G352" s="38"/>
      <c r="H352" s="39" t="n">
        <f aca="false">IF(OR($E352="",$F352=""),0,ROUND(MOD($F352-$E352,1)*24-N($G352)/60,2))</f>
        <v>0</v>
      </c>
      <c r="I352" s="40"/>
      <c r="J352" s="41" t="n">
        <f aca="false">IF($A352="",0,YEAR($A352))</f>
        <v>0</v>
      </c>
      <c r="K352" s="36" t="str">
        <f aca="false">IF($A352="","",INDEX(Monate,MONTH($A352)))</f>
        <v/>
      </c>
      <c r="L352" s="41" t="n">
        <f aca="false">IF($A352="",0,WEEKNUM($A352,2))</f>
        <v>0</v>
      </c>
    </row>
    <row r="353" customFormat="false" ht="15" hidden="false" customHeight="false" outlineLevel="0" collapsed="false">
      <c r="A353" s="42"/>
      <c r="B353" s="43"/>
      <c r="C353" s="43"/>
      <c r="D353" s="43"/>
      <c r="E353" s="44"/>
      <c r="F353" s="44"/>
      <c r="G353" s="45"/>
      <c r="H353" s="46" t="n">
        <f aca="false">IF(OR($E353="",$F353=""),0,ROUND(MOD($F353-$E353,1)*24-N($G353)/60,2))</f>
        <v>0</v>
      </c>
      <c r="I353" s="47"/>
      <c r="J353" s="48" t="n">
        <f aca="false">IF($A353="",0,YEAR($A353))</f>
        <v>0</v>
      </c>
      <c r="K353" s="43" t="str">
        <f aca="false">IF($A353="","",INDEX(Monate,MONTH($A353)))</f>
        <v/>
      </c>
      <c r="L353" s="48" t="n">
        <f aca="false">IF($A353="",0,WEEKNUM($A353,2))</f>
        <v>0</v>
      </c>
    </row>
    <row r="354" customFormat="false" ht="15" hidden="false" customHeight="false" outlineLevel="0" collapsed="false">
      <c r="A354" s="35"/>
      <c r="B354" s="36"/>
      <c r="C354" s="36"/>
      <c r="D354" s="36"/>
      <c r="E354" s="37"/>
      <c r="F354" s="37"/>
      <c r="G354" s="38"/>
      <c r="H354" s="39" t="n">
        <f aca="false">IF(OR($E354="",$F354=""),0,ROUND(MOD($F354-$E354,1)*24-N($G354)/60,2))</f>
        <v>0</v>
      </c>
      <c r="I354" s="40"/>
      <c r="J354" s="41" t="n">
        <f aca="false">IF($A354="",0,YEAR($A354))</f>
        <v>0</v>
      </c>
      <c r="K354" s="36" t="str">
        <f aca="false">IF($A354="","",INDEX(Monate,MONTH($A354)))</f>
        <v/>
      </c>
      <c r="L354" s="41" t="n">
        <f aca="false">IF($A354="",0,WEEKNUM($A354,2))</f>
        <v>0</v>
      </c>
    </row>
    <row r="355" customFormat="false" ht="15" hidden="false" customHeight="false" outlineLevel="0" collapsed="false">
      <c r="A355" s="42"/>
      <c r="B355" s="43"/>
      <c r="C355" s="43"/>
      <c r="D355" s="43"/>
      <c r="E355" s="44"/>
      <c r="F355" s="44"/>
      <c r="G355" s="45"/>
      <c r="H355" s="46" t="n">
        <f aca="false">IF(OR($E355="",$F355=""),0,ROUND(MOD($F355-$E355,1)*24-N($G355)/60,2))</f>
        <v>0</v>
      </c>
      <c r="I355" s="47"/>
      <c r="J355" s="48" t="n">
        <f aca="false">IF($A355="",0,YEAR($A355))</f>
        <v>0</v>
      </c>
      <c r="K355" s="43" t="str">
        <f aca="false">IF($A355="","",INDEX(Monate,MONTH($A355)))</f>
        <v/>
      </c>
      <c r="L355" s="48" t="n">
        <f aca="false">IF($A355="",0,WEEKNUM($A355,2))</f>
        <v>0</v>
      </c>
    </row>
    <row r="356" customFormat="false" ht="15" hidden="false" customHeight="false" outlineLevel="0" collapsed="false">
      <c r="A356" s="35"/>
      <c r="B356" s="36"/>
      <c r="C356" s="36"/>
      <c r="D356" s="36"/>
      <c r="E356" s="37"/>
      <c r="F356" s="37"/>
      <c r="G356" s="38"/>
      <c r="H356" s="39" t="n">
        <f aca="false">IF(OR($E356="",$F356=""),0,ROUND(MOD($F356-$E356,1)*24-N($G356)/60,2))</f>
        <v>0</v>
      </c>
      <c r="I356" s="40"/>
      <c r="J356" s="41" t="n">
        <f aca="false">IF($A356="",0,YEAR($A356))</f>
        <v>0</v>
      </c>
      <c r="K356" s="36" t="str">
        <f aca="false">IF($A356="","",INDEX(Monate,MONTH($A356)))</f>
        <v/>
      </c>
      <c r="L356" s="41" t="n">
        <f aca="false">IF($A356="",0,WEEKNUM($A356,2))</f>
        <v>0</v>
      </c>
    </row>
    <row r="357" customFormat="false" ht="15" hidden="false" customHeight="false" outlineLevel="0" collapsed="false">
      <c r="A357" s="42"/>
      <c r="B357" s="43"/>
      <c r="C357" s="43"/>
      <c r="D357" s="43"/>
      <c r="E357" s="44"/>
      <c r="F357" s="44"/>
      <c r="G357" s="45"/>
      <c r="H357" s="46" t="n">
        <f aca="false">IF(OR($E357="",$F357=""),0,ROUND(MOD($F357-$E357,1)*24-N($G357)/60,2))</f>
        <v>0</v>
      </c>
      <c r="I357" s="47"/>
      <c r="J357" s="48" t="n">
        <f aca="false">IF($A357="",0,YEAR($A357))</f>
        <v>0</v>
      </c>
      <c r="K357" s="43" t="str">
        <f aca="false">IF($A357="","",INDEX(Monate,MONTH($A357)))</f>
        <v/>
      </c>
      <c r="L357" s="48" t="n">
        <f aca="false">IF($A357="",0,WEEKNUM($A357,2))</f>
        <v>0</v>
      </c>
    </row>
    <row r="358" customFormat="false" ht="15" hidden="false" customHeight="false" outlineLevel="0" collapsed="false">
      <c r="A358" s="35"/>
      <c r="B358" s="36"/>
      <c r="C358" s="36"/>
      <c r="D358" s="36"/>
      <c r="E358" s="37"/>
      <c r="F358" s="37"/>
      <c r="G358" s="38"/>
      <c r="H358" s="39" t="n">
        <f aca="false">IF(OR($E358="",$F358=""),0,ROUND(MOD($F358-$E358,1)*24-N($G358)/60,2))</f>
        <v>0</v>
      </c>
      <c r="I358" s="40"/>
      <c r="J358" s="41" t="n">
        <f aca="false">IF($A358="",0,YEAR($A358))</f>
        <v>0</v>
      </c>
      <c r="K358" s="36" t="str">
        <f aca="false">IF($A358="","",INDEX(Monate,MONTH($A358)))</f>
        <v/>
      </c>
      <c r="L358" s="41" t="n">
        <f aca="false">IF($A358="",0,WEEKNUM($A358,2))</f>
        <v>0</v>
      </c>
    </row>
    <row r="359" customFormat="false" ht="15" hidden="false" customHeight="false" outlineLevel="0" collapsed="false">
      <c r="A359" s="42"/>
      <c r="B359" s="43"/>
      <c r="C359" s="43"/>
      <c r="D359" s="43"/>
      <c r="E359" s="44"/>
      <c r="F359" s="44"/>
      <c r="G359" s="45"/>
      <c r="H359" s="46" t="n">
        <f aca="false">IF(OR($E359="",$F359=""),0,ROUND(MOD($F359-$E359,1)*24-N($G359)/60,2))</f>
        <v>0</v>
      </c>
      <c r="I359" s="47"/>
      <c r="J359" s="48" t="n">
        <f aca="false">IF($A359="",0,YEAR($A359))</f>
        <v>0</v>
      </c>
      <c r="K359" s="43" t="str">
        <f aca="false">IF($A359="","",INDEX(Monate,MONTH($A359)))</f>
        <v/>
      </c>
      <c r="L359" s="48" t="n">
        <f aca="false">IF($A359="",0,WEEKNUM($A359,2))</f>
        <v>0</v>
      </c>
    </row>
    <row r="360" customFormat="false" ht="15" hidden="false" customHeight="false" outlineLevel="0" collapsed="false">
      <c r="A360" s="35"/>
      <c r="B360" s="36"/>
      <c r="C360" s="36"/>
      <c r="D360" s="36"/>
      <c r="E360" s="37"/>
      <c r="F360" s="37"/>
      <c r="G360" s="38"/>
      <c r="H360" s="39" t="n">
        <f aca="false">IF(OR($E360="",$F360=""),0,ROUND(MOD($F360-$E360,1)*24-N($G360)/60,2))</f>
        <v>0</v>
      </c>
      <c r="I360" s="40"/>
      <c r="J360" s="41" t="n">
        <f aca="false">IF($A360="",0,YEAR($A360))</f>
        <v>0</v>
      </c>
      <c r="K360" s="36" t="str">
        <f aca="false">IF($A360="","",INDEX(Monate,MONTH($A360)))</f>
        <v/>
      </c>
      <c r="L360" s="41" t="n">
        <f aca="false">IF($A360="",0,WEEKNUM($A360,2))</f>
        <v>0</v>
      </c>
    </row>
    <row r="361" customFormat="false" ht="15" hidden="false" customHeight="false" outlineLevel="0" collapsed="false">
      <c r="A361" s="42"/>
      <c r="B361" s="43"/>
      <c r="C361" s="43"/>
      <c r="D361" s="43"/>
      <c r="E361" s="44"/>
      <c r="F361" s="44"/>
      <c r="G361" s="45"/>
      <c r="H361" s="46" t="n">
        <f aca="false">IF(OR($E361="",$F361=""),0,ROUND(MOD($F361-$E361,1)*24-N($G361)/60,2))</f>
        <v>0</v>
      </c>
      <c r="I361" s="47"/>
      <c r="J361" s="48" t="n">
        <f aca="false">IF($A361="",0,YEAR($A361))</f>
        <v>0</v>
      </c>
      <c r="K361" s="43" t="str">
        <f aca="false">IF($A361="","",INDEX(Monate,MONTH($A361)))</f>
        <v/>
      </c>
      <c r="L361" s="48" t="n">
        <f aca="false">IF($A361="",0,WEEKNUM($A361,2))</f>
        <v>0</v>
      </c>
    </row>
    <row r="362" customFormat="false" ht="15" hidden="false" customHeight="false" outlineLevel="0" collapsed="false">
      <c r="A362" s="35"/>
      <c r="B362" s="36"/>
      <c r="C362" s="36"/>
      <c r="D362" s="36"/>
      <c r="E362" s="37"/>
      <c r="F362" s="37"/>
      <c r="G362" s="38"/>
      <c r="H362" s="39" t="n">
        <f aca="false">IF(OR($E362="",$F362=""),0,ROUND(MOD($F362-$E362,1)*24-N($G362)/60,2))</f>
        <v>0</v>
      </c>
      <c r="I362" s="40"/>
      <c r="J362" s="41" t="n">
        <f aca="false">IF($A362="",0,YEAR($A362))</f>
        <v>0</v>
      </c>
      <c r="K362" s="36" t="str">
        <f aca="false">IF($A362="","",INDEX(Monate,MONTH($A362)))</f>
        <v/>
      </c>
      <c r="L362" s="41" t="n">
        <f aca="false">IF($A362="",0,WEEKNUM($A362,2))</f>
        <v>0</v>
      </c>
    </row>
    <row r="363" customFormat="false" ht="15" hidden="false" customHeight="false" outlineLevel="0" collapsed="false">
      <c r="A363" s="42"/>
      <c r="B363" s="43"/>
      <c r="C363" s="43"/>
      <c r="D363" s="43"/>
      <c r="E363" s="44"/>
      <c r="F363" s="44"/>
      <c r="G363" s="45"/>
      <c r="H363" s="46" t="n">
        <f aca="false">IF(OR($E363="",$F363=""),0,ROUND(MOD($F363-$E363,1)*24-N($G363)/60,2))</f>
        <v>0</v>
      </c>
      <c r="I363" s="47"/>
      <c r="J363" s="48" t="n">
        <f aca="false">IF($A363="",0,YEAR($A363))</f>
        <v>0</v>
      </c>
      <c r="K363" s="43" t="str">
        <f aca="false">IF($A363="","",INDEX(Monate,MONTH($A363)))</f>
        <v/>
      </c>
      <c r="L363" s="48" t="n">
        <f aca="false">IF($A363="",0,WEEKNUM($A363,2))</f>
        <v>0</v>
      </c>
    </row>
    <row r="364" customFormat="false" ht="15" hidden="false" customHeight="false" outlineLevel="0" collapsed="false">
      <c r="A364" s="35"/>
      <c r="B364" s="36"/>
      <c r="C364" s="36"/>
      <c r="D364" s="36"/>
      <c r="E364" s="37"/>
      <c r="F364" s="37"/>
      <c r="G364" s="38"/>
      <c r="H364" s="39" t="n">
        <f aca="false">IF(OR($E364="",$F364=""),0,ROUND(MOD($F364-$E364,1)*24-N($G364)/60,2))</f>
        <v>0</v>
      </c>
      <c r="I364" s="40"/>
      <c r="J364" s="41" t="n">
        <f aca="false">IF($A364="",0,YEAR($A364))</f>
        <v>0</v>
      </c>
      <c r="K364" s="36" t="str">
        <f aca="false">IF($A364="","",INDEX(Monate,MONTH($A364)))</f>
        <v/>
      </c>
      <c r="L364" s="41" t="n">
        <f aca="false">IF($A364="",0,WEEKNUM($A364,2))</f>
        <v>0</v>
      </c>
    </row>
    <row r="365" customFormat="false" ht="15" hidden="false" customHeight="false" outlineLevel="0" collapsed="false">
      <c r="A365" s="42"/>
      <c r="B365" s="43"/>
      <c r="C365" s="43"/>
      <c r="D365" s="43"/>
      <c r="E365" s="44"/>
      <c r="F365" s="44"/>
      <c r="G365" s="45"/>
      <c r="H365" s="46" t="n">
        <f aca="false">IF(OR($E365="",$F365=""),0,ROUND(MOD($F365-$E365,1)*24-N($G365)/60,2))</f>
        <v>0</v>
      </c>
      <c r="I365" s="47"/>
      <c r="J365" s="48" t="n">
        <f aca="false">IF($A365="",0,YEAR($A365))</f>
        <v>0</v>
      </c>
      <c r="K365" s="43" t="str">
        <f aca="false">IF($A365="","",INDEX(Monate,MONTH($A365)))</f>
        <v/>
      </c>
      <c r="L365" s="48" t="n">
        <f aca="false">IF($A365="",0,WEEKNUM($A365,2))</f>
        <v>0</v>
      </c>
    </row>
    <row r="366" customFormat="false" ht="15" hidden="false" customHeight="false" outlineLevel="0" collapsed="false">
      <c r="A366" s="35"/>
      <c r="B366" s="36"/>
      <c r="C366" s="36"/>
      <c r="D366" s="36"/>
      <c r="E366" s="37"/>
      <c r="F366" s="37"/>
      <c r="G366" s="38"/>
      <c r="H366" s="39" t="n">
        <f aca="false">IF(OR($E366="",$F366=""),0,ROUND(MOD($F366-$E366,1)*24-N($G366)/60,2))</f>
        <v>0</v>
      </c>
      <c r="I366" s="40"/>
      <c r="J366" s="41" t="n">
        <f aca="false">IF($A366="",0,YEAR($A366))</f>
        <v>0</v>
      </c>
      <c r="K366" s="36" t="str">
        <f aca="false">IF($A366="","",INDEX(Monate,MONTH($A366)))</f>
        <v/>
      </c>
      <c r="L366" s="41" t="n">
        <f aca="false">IF($A366="",0,WEEKNUM($A366,2))</f>
        <v>0</v>
      </c>
    </row>
    <row r="367" customFormat="false" ht="15" hidden="false" customHeight="false" outlineLevel="0" collapsed="false">
      <c r="A367" s="42"/>
      <c r="B367" s="43"/>
      <c r="C367" s="43"/>
      <c r="D367" s="43"/>
      <c r="E367" s="44"/>
      <c r="F367" s="44"/>
      <c r="G367" s="45"/>
      <c r="H367" s="46" t="n">
        <f aca="false">IF(OR($E367="",$F367=""),0,ROUND(MOD($F367-$E367,1)*24-N($G367)/60,2))</f>
        <v>0</v>
      </c>
      <c r="I367" s="47"/>
      <c r="J367" s="48" t="n">
        <f aca="false">IF($A367="",0,YEAR($A367))</f>
        <v>0</v>
      </c>
      <c r="K367" s="43" t="str">
        <f aca="false">IF($A367="","",INDEX(Monate,MONTH($A367)))</f>
        <v/>
      </c>
      <c r="L367" s="48" t="n">
        <f aca="false">IF($A367="",0,WEEKNUM($A367,2))</f>
        <v>0</v>
      </c>
    </row>
    <row r="368" customFormat="false" ht="15" hidden="false" customHeight="false" outlineLevel="0" collapsed="false">
      <c r="A368" s="35"/>
      <c r="B368" s="36"/>
      <c r="C368" s="36"/>
      <c r="D368" s="36"/>
      <c r="E368" s="37"/>
      <c r="F368" s="37"/>
      <c r="G368" s="38"/>
      <c r="H368" s="39" t="n">
        <f aca="false">IF(OR($E368="",$F368=""),0,ROUND(MOD($F368-$E368,1)*24-N($G368)/60,2))</f>
        <v>0</v>
      </c>
      <c r="I368" s="40"/>
      <c r="J368" s="41" t="n">
        <f aca="false">IF($A368="",0,YEAR($A368))</f>
        <v>0</v>
      </c>
      <c r="K368" s="36" t="str">
        <f aca="false">IF($A368="","",INDEX(Monate,MONTH($A368)))</f>
        <v/>
      </c>
      <c r="L368" s="41" t="n">
        <f aca="false">IF($A368="",0,WEEKNUM($A368,2))</f>
        <v>0</v>
      </c>
    </row>
    <row r="369" customFormat="false" ht="15" hidden="false" customHeight="false" outlineLevel="0" collapsed="false">
      <c r="A369" s="42"/>
      <c r="B369" s="43"/>
      <c r="C369" s="43"/>
      <c r="D369" s="43"/>
      <c r="E369" s="44"/>
      <c r="F369" s="44"/>
      <c r="G369" s="45"/>
      <c r="H369" s="46" t="n">
        <f aca="false">IF(OR($E369="",$F369=""),0,ROUND(MOD($F369-$E369,1)*24-N($G369)/60,2))</f>
        <v>0</v>
      </c>
      <c r="I369" s="47"/>
      <c r="J369" s="48" t="n">
        <f aca="false">IF($A369="",0,YEAR($A369))</f>
        <v>0</v>
      </c>
      <c r="K369" s="43" t="str">
        <f aca="false">IF($A369="","",INDEX(Monate,MONTH($A369)))</f>
        <v/>
      </c>
      <c r="L369" s="48" t="n">
        <f aca="false">IF($A369="",0,WEEKNUM($A369,2))</f>
        <v>0</v>
      </c>
    </row>
    <row r="370" customFormat="false" ht="15" hidden="false" customHeight="false" outlineLevel="0" collapsed="false">
      <c r="A370" s="35"/>
      <c r="B370" s="36"/>
      <c r="C370" s="36"/>
      <c r="D370" s="36"/>
      <c r="E370" s="37"/>
      <c r="F370" s="37"/>
      <c r="G370" s="38"/>
      <c r="H370" s="39" t="n">
        <f aca="false">IF(OR($E370="",$F370=""),0,ROUND(MOD($F370-$E370,1)*24-N($G370)/60,2))</f>
        <v>0</v>
      </c>
      <c r="I370" s="40"/>
      <c r="J370" s="41" t="n">
        <f aca="false">IF($A370="",0,YEAR($A370))</f>
        <v>0</v>
      </c>
      <c r="K370" s="36" t="str">
        <f aca="false">IF($A370="","",INDEX(Monate,MONTH($A370)))</f>
        <v/>
      </c>
      <c r="L370" s="41" t="n">
        <f aca="false">IF($A370="",0,WEEKNUM($A370,2))</f>
        <v>0</v>
      </c>
    </row>
    <row r="371" customFormat="false" ht="15" hidden="false" customHeight="false" outlineLevel="0" collapsed="false">
      <c r="A371" s="42"/>
      <c r="B371" s="43"/>
      <c r="C371" s="43"/>
      <c r="D371" s="43"/>
      <c r="E371" s="44"/>
      <c r="F371" s="44"/>
      <c r="G371" s="45"/>
      <c r="H371" s="46" t="n">
        <f aca="false">IF(OR($E371="",$F371=""),0,ROUND(MOD($F371-$E371,1)*24-N($G371)/60,2))</f>
        <v>0</v>
      </c>
      <c r="I371" s="47"/>
      <c r="J371" s="48" t="n">
        <f aca="false">IF($A371="",0,YEAR($A371))</f>
        <v>0</v>
      </c>
      <c r="K371" s="43" t="str">
        <f aca="false">IF($A371="","",INDEX(Monate,MONTH($A371)))</f>
        <v/>
      </c>
      <c r="L371" s="48" t="n">
        <f aca="false">IF($A371="",0,WEEKNUM($A371,2))</f>
        <v>0</v>
      </c>
    </row>
    <row r="372" customFormat="false" ht="15" hidden="false" customHeight="false" outlineLevel="0" collapsed="false">
      <c r="A372" s="35"/>
      <c r="B372" s="36"/>
      <c r="C372" s="36"/>
      <c r="D372" s="36"/>
      <c r="E372" s="37"/>
      <c r="F372" s="37"/>
      <c r="G372" s="38"/>
      <c r="H372" s="39" t="n">
        <f aca="false">IF(OR($E372="",$F372=""),0,ROUND(MOD($F372-$E372,1)*24-N($G372)/60,2))</f>
        <v>0</v>
      </c>
      <c r="I372" s="40"/>
      <c r="J372" s="41" t="n">
        <f aca="false">IF($A372="",0,YEAR($A372))</f>
        <v>0</v>
      </c>
      <c r="K372" s="36" t="str">
        <f aca="false">IF($A372="","",INDEX(Monate,MONTH($A372)))</f>
        <v/>
      </c>
      <c r="L372" s="41" t="n">
        <f aca="false">IF($A372="",0,WEEKNUM($A372,2))</f>
        <v>0</v>
      </c>
    </row>
    <row r="373" customFormat="false" ht="15" hidden="false" customHeight="false" outlineLevel="0" collapsed="false">
      <c r="A373" s="42"/>
      <c r="B373" s="43"/>
      <c r="C373" s="43"/>
      <c r="D373" s="43"/>
      <c r="E373" s="44"/>
      <c r="F373" s="44"/>
      <c r="G373" s="45"/>
      <c r="H373" s="46" t="n">
        <f aca="false">IF(OR($E373="",$F373=""),0,ROUND(MOD($F373-$E373,1)*24-N($G373)/60,2))</f>
        <v>0</v>
      </c>
      <c r="I373" s="47"/>
      <c r="J373" s="48" t="n">
        <f aca="false">IF($A373="",0,YEAR($A373))</f>
        <v>0</v>
      </c>
      <c r="K373" s="43" t="str">
        <f aca="false">IF($A373="","",INDEX(Monate,MONTH($A373)))</f>
        <v/>
      </c>
      <c r="L373" s="48" t="n">
        <f aca="false">IF($A373="",0,WEEKNUM($A373,2))</f>
        <v>0</v>
      </c>
    </row>
    <row r="374" customFormat="false" ht="15" hidden="false" customHeight="false" outlineLevel="0" collapsed="false">
      <c r="A374" s="35"/>
      <c r="B374" s="36"/>
      <c r="C374" s="36"/>
      <c r="D374" s="36"/>
      <c r="E374" s="37"/>
      <c r="F374" s="37"/>
      <c r="G374" s="38"/>
      <c r="H374" s="39" t="n">
        <f aca="false">IF(OR($E374="",$F374=""),0,ROUND(MOD($F374-$E374,1)*24-N($G374)/60,2))</f>
        <v>0</v>
      </c>
      <c r="I374" s="40"/>
      <c r="J374" s="41" t="n">
        <f aca="false">IF($A374="",0,YEAR($A374))</f>
        <v>0</v>
      </c>
      <c r="K374" s="36" t="str">
        <f aca="false">IF($A374="","",INDEX(Monate,MONTH($A374)))</f>
        <v/>
      </c>
      <c r="L374" s="41" t="n">
        <f aca="false">IF($A374="",0,WEEKNUM($A374,2))</f>
        <v>0</v>
      </c>
    </row>
    <row r="375" customFormat="false" ht="15" hidden="false" customHeight="false" outlineLevel="0" collapsed="false">
      <c r="A375" s="42"/>
      <c r="B375" s="43"/>
      <c r="C375" s="43"/>
      <c r="D375" s="43"/>
      <c r="E375" s="44"/>
      <c r="F375" s="44"/>
      <c r="G375" s="45"/>
      <c r="H375" s="46" t="n">
        <f aca="false">IF(OR($E375="",$F375=""),0,ROUND(MOD($F375-$E375,1)*24-N($G375)/60,2))</f>
        <v>0</v>
      </c>
      <c r="I375" s="47"/>
      <c r="J375" s="48" t="n">
        <f aca="false">IF($A375="",0,YEAR($A375))</f>
        <v>0</v>
      </c>
      <c r="K375" s="43" t="str">
        <f aca="false">IF($A375="","",INDEX(Monate,MONTH($A375)))</f>
        <v/>
      </c>
      <c r="L375" s="48" t="n">
        <f aca="false">IF($A375="",0,WEEKNUM($A375,2))</f>
        <v>0</v>
      </c>
    </row>
    <row r="376" customFormat="false" ht="15" hidden="false" customHeight="false" outlineLevel="0" collapsed="false">
      <c r="A376" s="35"/>
      <c r="B376" s="36"/>
      <c r="C376" s="36"/>
      <c r="D376" s="36"/>
      <c r="E376" s="37"/>
      <c r="F376" s="37"/>
      <c r="G376" s="38"/>
      <c r="H376" s="39" t="n">
        <f aca="false">IF(OR($E376="",$F376=""),0,ROUND(MOD($F376-$E376,1)*24-N($G376)/60,2))</f>
        <v>0</v>
      </c>
      <c r="I376" s="40"/>
      <c r="J376" s="41" t="n">
        <f aca="false">IF($A376="",0,YEAR($A376))</f>
        <v>0</v>
      </c>
      <c r="K376" s="36" t="str">
        <f aca="false">IF($A376="","",INDEX(Monate,MONTH($A376)))</f>
        <v/>
      </c>
      <c r="L376" s="41" t="n">
        <f aca="false">IF($A376="",0,WEEKNUM($A376,2))</f>
        <v>0</v>
      </c>
    </row>
    <row r="377" customFormat="false" ht="15" hidden="false" customHeight="false" outlineLevel="0" collapsed="false">
      <c r="A377" s="42"/>
      <c r="B377" s="43"/>
      <c r="C377" s="43"/>
      <c r="D377" s="43"/>
      <c r="E377" s="44"/>
      <c r="F377" s="44"/>
      <c r="G377" s="45"/>
      <c r="H377" s="46" t="n">
        <f aca="false">IF(OR($E377="",$F377=""),0,ROUND(MOD($F377-$E377,1)*24-N($G377)/60,2))</f>
        <v>0</v>
      </c>
      <c r="I377" s="47"/>
      <c r="J377" s="48" t="n">
        <f aca="false">IF($A377="",0,YEAR($A377))</f>
        <v>0</v>
      </c>
      <c r="K377" s="43" t="str">
        <f aca="false">IF($A377="","",INDEX(Monate,MONTH($A377)))</f>
        <v/>
      </c>
      <c r="L377" s="48" t="n">
        <f aca="false">IF($A377="",0,WEEKNUM($A377,2))</f>
        <v>0</v>
      </c>
    </row>
    <row r="378" customFormat="false" ht="15" hidden="false" customHeight="false" outlineLevel="0" collapsed="false">
      <c r="A378" s="35"/>
      <c r="B378" s="36"/>
      <c r="C378" s="36"/>
      <c r="D378" s="36"/>
      <c r="E378" s="37"/>
      <c r="F378" s="37"/>
      <c r="G378" s="38"/>
      <c r="H378" s="39" t="n">
        <f aca="false">IF(OR($E378="",$F378=""),0,ROUND(MOD($F378-$E378,1)*24-N($G378)/60,2))</f>
        <v>0</v>
      </c>
      <c r="I378" s="40"/>
      <c r="J378" s="41" t="n">
        <f aca="false">IF($A378="",0,YEAR($A378))</f>
        <v>0</v>
      </c>
      <c r="K378" s="36" t="str">
        <f aca="false">IF($A378="","",INDEX(Monate,MONTH($A378)))</f>
        <v/>
      </c>
      <c r="L378" s="41" t="n">
        <f aca="false">IF($A378="",0,WEEKNUM($A378,2))</f>
        <v>0</v>
      </c>
    </row>
    <row r="379" customFormat="false" ht="15" hidden="false" customHeight="false" outlineLevel="0" collapsed="false">
      <c r="A379" s="42"/>
      <c r="B379" s="43"/>
      <c r="C379" s="43"/>
      <c r="D379" s="43"/>
      <c r="E379" s="44"/>
      <c r="F379" s="44"/>
      <c r="G379" s="45"/>
      <c r="H379" s="46" t="n">
        <f aca="false">IF(OR($E379="",$F379=""),0,ROUND(MOD($F379-$E379,1)*24-N($G379)/60,2))</f>
        <v>0</v>
      </c>
      <c r="I379" s="47"/>
      <c r="J379" s="48" t="n">
        <f aca="false">IF($A379="",0,YEAR($A379))</f>
        <v>0</v>
      </c>
      <c r="K379" s="43" t="str">
        <f aca="false">IF($A379="","",INDEX(Monate,MONTH($A379)))</f>
        <v/>
      </c>
      <c r="L379" s="48" t="n">
        <f aca="false">IF($A379="",0,WEEKNUM($A379,2))</f>
        <v>0</v>
      </c>
    </row>
    <row r="380" customFormat="false" ht="15" hidden="false" customHeight="false" outlineLevel="0" collapsed="false">
      <c r="A380" s="35"/>
      <c r="B380" s="36"/>
      <c r="C380" s="36"/>
      <c r="D380" s="36"/>
      <c r="E380" s="37"/>
      <c r="F380" s="37"/>
      <c r="G380" s="38"/>
      <c r="H380" s="39" t="n">
        <f aca="false">IF(OR($E380="",$F380=""),0,ROUND(MOD($F380-$E380,1)*24-N($G380)/60,2))</f>
        <v>0</v>
      </c>
      <c r="I380" s="40"/>
      <c r="J380" s="41" t="n">
        <f aca="false">IF($A380="",0,YEAR($A380))</f>
        <v>0</v>
      </c>
      <c r="K380" s="36" t="str">
        <f aca="false">IF($A380="","",INDEX(Monate,MONTH($A380)))</f>
        <v/>
      </c>
      <c r="L380" s="41" t="n">
        <f aca="false">IF($A380="",0,WEEKNUM($A380,2))</f>
        <v>0</v>
      </c>
    </row>
    <row r="381" customFormat="false" ht="15" hidden="false" customHeight="false" outlineLevel="0" collapsed="false">
      <c r="A381" s="42"/>
      <c r="B381" s="43"/>
      <c r="C381" s="43"/>
      <c r="D381" s="43"/>
      <c r="E381" s="44"/>
      <c r="F381" s="44"/>
      <c r="G381" s="45"/>
      <c r="H381" s="46" t="n">
        <f aca="false">IF(OR($E381="",$F381=""),0,ROUND(MOD($F381-$E381,1)*24-N($G381)/60,2))</f>
        <v>0</v>
      </c>
      <c r="I381" s="47"/>
      <c r="J381" s="48" t="n">
        <f aca="false">IF($A381="",0,YEAR($A381))</f>
        <v>0</v>
      </c>
      <c r="K381" s="43" t="str">
        <f aca="false">IF($A381="","",INDEX(Monate,MONTH($A381)))</f>
        <v/>
      </c>
      <c r="L381" s="48" t="n">
        <f aca="false">IF($A381="",0,WEEKNUM($A381,2))</f>
        <v>0</v>
      </c>
    </row>
    <row r="382" customFormat="false" ht="15" hidden="false" customHeight="false" outlineLevel="0" collapsed="false">
      <c r="A382" s="35"/>
      <c r="B382" s="36"/>
      <c r="C382" s="36"/>
      <c r="D382" s="36"/>
      <c r="E382" s="37"/>
      <c r="F382" s="37"/>
      <c r="G382" s="38"/>
      <c r="H382" s="39" t="n">
        <f aca="false">IF(OR($E382="",$F382=""),0,ROUND(MOD($F382-$E382,1)*24-N($G382)/60,2))</f>
        <v>0</v>
      </c>
      <c r="I382" s="40"/>
      <c r="J382" s="41" t="n">
        <f aca="false">IF($A382="",0,YEAR($A382))</f>
        <v>0</v>
      </c>
      <c r="K382" s="36" t="str">
        <f aca="false">IF($A382="","",INDEX(Monate,MONTH($A382)))</f>
        <v/>
      </c>
      <c r="L382" s="41" t="n">
        <f aca="false">IF($A382="",0,WEEKNUM($A382,2))</f>
        <v>0</v>
      </c>
    </row>
    <row r="383" customFormat="false" ht="15" hidden="false" customHeight="false" outlineLevel="0" collapsed="false">
      <c r="A383" s="42"/>
      <c r="B383" s="43"/>
      <c r="C383" s="43"/>
      <c r="D383" s="43"/>
      <c r="E383" s="44"/>
      <c r="F383" s="44"/>
      <c r="G383" s="45"/>
      <c r="H383" s="46" t="n">
        <f aca="false">IF(OR($E383="",$F383=""),0,ROUND(MOD($F383-$E383,1)*24-N($G383)/60,2))</f>
        <v>0</v>
      </c>
      <c r="I383" s="47"/>
      <c r="J383" s="48" t="n">
        <f aca="false">IF($A383="",0,YEAR($A383))</f>
        <v>0</v>
      </c>
      <c r="K383" s="43" t="str">
        <f aca="false">IF($A383="","",INDEX(Monate,MONTH($A383)))</f>
        <v/>
      </c>
      <c r="L383" s="48" t="n">
        <f aca="false">IF($A383="",0,WEEKNUM($A383,2))</f>
        <v>0</v>
      </c>
    </row>
    <row r="384" customFormat="false" ht="15" hidden="false" customHeight="false" outlineLevel="0" collapsed="false">
      <c r="A384" s="35"/>
      <c r="B384" s="36"/>
      <c r="C384" s="36"/>
      <c r="D384" s="36"/>
      <c r="E384" s="37"/>
      <c r="F384" s="37"/>
      <c r="G384" s="38"/>
      <c r="H384" s="39" t="n">
        <f aca="false">IF(OR($E384="",$F384=""),0,ROUND(MOD($F384-$E384,1)*24-N($G384)/60,2))</f>
        <v>0</v>
      </c>
      <c r="I384" s="40"/>
      <c r="J384" s="41" t="n">
        <f aca="false">IF($A384="",0,YEAR($A384))</f>
        <v>0</v>
      </c>
      <c r="K384" s="36" t="str">
        <f aca="false">IF($A384="","",INDEX(Monate,MONTH($A384)))</f>
        <v/>
      </c>
      <c r="L384" s="41" t="n">
        <f aca="false">IF($A384="",0,WEEKNUM($A384,2))</f>
        <v>0</v>
      </c>
    </row>
    <row r="385" customFormat="false" ht="15" hidden="false" customHeight="false" outlineLevel="0" collapsed="false">
      <c r="A385" s="42"/>
      <c r="B385" s="43"/>
      <c r="C385" s="43"/>
      <c r="D385" s="43"/>
      <c r="E385" s="44"/>
      <c r="F385" s="44"/>
      <c r="G385" s="45"/>
      <c r="H385" s="46" t="n">
        <f aca="false">IF(OR($E385="",$F385=""),0,ROUND(MOD($F385-$E385,1)*24-N($G385)/60,2))</f>
        <v>0</v>
      </c>
      <c r="I385" s="47"/>
      <c r="J385" s="48" t="n">
        <f aca="false">IF($A385="",0,YEAR($A385))</f>
        <v>0</v>
      </c>
      <c r="K385" s="43" t="str">
        <f aca="false">IF($A385="","",INDEX(Monate,MONTH($A385)))</f>
        <v/>
      </c>
      <c r="L385" s="48" t="n">
        <f aca="false">IF($A385="",0,WEEKNUM($A385,2))</f>
        <v>0</v>
      </c>
    </row>
    <row r="386" customFormat="false" ht="15" hidden="false" customHeight="false" outlineLevel="0" collapsed="false">
      <c r="A386" s="35"/>
      <c r="B386" s="36"/>
      <c r="C386" s="36"/>
      <c r="D386" s="36"/>
      <c r="E386" s="37"/>
      <c r="F386" s="37"/>
      <c r="G386" s="38"/>
      <c r="H386" s="39" t="n">
        <f aca="false">IF(OR($E386="",$F386=""),0,ROUND(MOD($F386-$E386,1)*24-N($G386)/60,2))</f>
        <v>0</v>
      </c>
      <c r="I386" s="40"/>
      <c r="J386" s="41" t="n">
        <f aca="false">IF($A386="",0,YEAR($A386))</f>
        <v>0</v>
      </c>
      <c r="K386" s="36" t="str">
        <f aca="false">IF($A386="","",INDEX(Monate,MONTH($A386)))</f>
        <v/>
      </c>
      <c r="L386" s="41" t="n">
        <f aca="false">IF($A386="",0,WEEKNUM($A386,2))</f>
        <v>0</v>
      </c>
    </row>
    <row r="387" customFormat="false" ht="15" hidden="false" customHeight="false" outlineLevel="0" collapsed="false">
      <c r="A387" s="42"/>
      <c r="B387" s="43"/>
      <c r="C387" s="43"/>
      <c r="D387" s="43"/>
      <c r="E387" s="44"/>
      <c r="F387" s="44"/>
      <c r="G387" s="45"/>
      <c r="H387" s="46" t="n">
        <f aca="false">IF(OR($E387="",$F387=""),0,ROUND(MOD($F387-$E387,1)*24-N($G387)/60,2))</f>
        <v>0</v>
      </c>
      <c r="I387" s="47"/>
      <c r="J387" s="48" t="n">
        <f aca="false">IF($A387="",0,YEAR($A387))</f>
        <v>0</v>
      </c>
      <c r="K387" s="43" t="str">
        <f aca="false">IF($A387="","",INDEX(Monate,MONTH($A387)))</f>
        <v/>
      </c>
      <c r="L387" s="48" t="n">
        <f aca="false">IF($A387="",0,WEEKNUM($A387,2))</f>
        <v>0</v>
      </c>
    </row>
    <row r="388" customFormat="false" ht="15" hidden="false" customHeight="false" outlineLevel="0" collapsed="false">
      <c r="A388" s="35"/>
      <c r="B388" s="36"/>
      <c r="C388" s="36"/>
      <c r="D388" s="36"/>
      <c r="E388" s="37"/>
      <c r="F388" s="37"/>
      <c r="G388" s="38"/>
      <c r="H388" s="39" t="n">
        <f aca="false">IF(OR($E388="",$F388=""),0,ROUND(MOD($F388-$E388,1)*24-N($G388)/60,2))</f>
        <v>0</v>
      </c>
      <c r="I388" s="40"/>
      <c r="J388" s="41" t="n">
        <f aca="false">IF($A388="",0,YEAR($A388))</f>
        <v>0</v>
      </c>
      <c r="K388" s="36" t="str">
        <f aca="false">IF($A388="","",INDEX(Monate,MONTH($A388)))</f>
        <v/>
      </c>
      <c r="L388" s="41" t="n">
        <f aca="false">IF($A388="",0,WEEKNUM($A388,2))</f>
        <v>0</v>
      </c>
    </row>
    <row r="389" customFormat="false" ht="15" hidden="false" customHeight="false" outlineLevel="0" collapsed="false">
      <c r="A389" s="42"/>
      <c r="B389" s="43"/>
      <c r="C389" s="43"/>
      <c r="D389" s="43"/>
      <c r="E389" s="44"/>
      <c r="F389" s="44"/>
      <c r="G389" s="45"/>
      <c r="H389" s="46" t="n">
        <f aca="false">IF(OR($E389="",$F389=""),0,ROUND(MOD($F389-$E389,1)*24-N($G389)/60,2))</f>
        <v>0</v>
      </c>
      <c r="I389" s="47"/>
      <c r="J389" s="48" t="n">
        <f aca="false">IF($A389="",0,YEAR($A389))</f>
        <v>0</v>
      </c>
      <c r="K389" s="43" t="str">
        <f aca="false">IF($A389="","",INDEX(Monate,MONTH($A389)))</f>
        <v/>
      </c>
      <c r="L389" s="48" t="n">
        <f aca="false">IF($A389="",0,WEEKNUM($A389,2))</f>
        <v>0</v>
      </c>
    </row>
    <row r="390" customFormat="false" ht="15" hidden="false" customHeight="false" outlineLevel="0" collapsed="false">
      <c r="A390" s="35"/>
      <c r="B390" s="36"/>
      <c r="C390" s="36"/>
      <c r="D390" s="36"/>
      <c r="E390" s="37"/>
      <c r="F390" s="37"/>
      <c r="G390" s="38"/>
      <c r="H390" s="39" t="n">
        <f aca="false">IF(OR($E390="",$F390=""),0,ROUND(MOD($F390-$E390,1)*24-N($G390)/60,2))</f>
        <v>0</v>
      </c>
      <c r="I390" s="40"/>
      <c r="J390" s="41" t="n">
        <f aca="false">IF($A390="",0,YEAR($A390))</f>
        <v>0</v>
      </c>
      <c r="K390" s="36" t="str">
        <f aca="false">IF($A390="","",INDEX(Monate,MONTH($A390)))</f>
        <v/>
      </c>
      <c r="L390" s="41" t="n">
        <f aca="false">IF($A390="",0,WEEKNUM($A390,2))</f>
        <v>0</v>
      </c>
    </row>
    <row r="391" customFormat="false" ht="15" hidden="false" customHeight="false" outlineLevel="0" collapsed="false">
      <c r="A391" s="42"/>
      <c r="B391" s="43"/>
      <c r="C391" s="43"/>
      <c r="D391" s="43"/>
      <c r="E391" s="44"/>
      <c r="F391" s="44"/>
      <c r="G391" s="45"/>
      <c r="H391" s="46" t="n">
        <f aca="false">IF(OR($E391="",$F391=""),0,ROUND(MOD($F391-$E391,1)*24-N($G391)/60,2))</f>
        <v>0</v>
      </c>
      <c r="I391" s="47"/>
      <c r="J391" s="48" t="n">
        <f aca="false">IF($A391="",0,YEAR($A391))</f>
        <v>0</v>
      </c>
      <c r="K391" s="43" t="str">
        <f aca="false">IF($A391="","",INDEX(Monate,MONTH($A391)))</f>
        <v/>
      </c>
      <c r="L391" s="48" t="n">
        <f aca="false">IF($A391="",0,WEEKNUM($A391,2))</f>
        <v>0</v>
      </c>
    </row>
    <row r="392" customFormat="false" ht="15" hidden="false" customHeight="false" outlineLevel="0" collapsed="false">
      <c r="A392" s="35"/>
      <c r="B392" s="36"/>
      <c r="C392" s="36"/>
      <c r="D392" s="36"/>
      <c r="E392" s="37"/>
      <c r="F392" s="37"/>
      <c r="G392" s="38"/>
      <c r="H392" s="39" t="n">
        <f aca="false">IF(OR($E392="",$F392=""),0,ROUND(MOD($F392-$E392,1)*24-N($G392)/60,2))</f>
        <v>0</v>
      </c>
      <c r="I392" s="40"/>
      <c r="J392" s="41" t="n">
        <f aca="false">IF($A392="",0,YEAR($A392))</f>
        <v>0</v>
      </c>
      <c r="K392" s="36" t="str">
        <f aca="false">IF($A392="","",INDEX(Monate,MONTH($A392)))</f>
        <v/>
      </c>
      <c r="L392" s="41" t="n">
        <f aca="false">IF($A392="",0,WEEKNUM($A392,2))</f>
        <v>0</v>
      </c>
    </row>
    <row r="393" customFormat="false" ht="15" hidden="false" customHeight="false" outlineLevel="0" collapsed="false">
      <c r="A393" s="42"/>
      <c r="B393" s="43"/>
      <c r="C393" s="43"/>
      <c r="D393" s="43"/>
      <c r="E393" s="44"/>
      <c r="F393" s="44"/>
      <c r="G393" s="45"/>
      <c r="H393" s="46" t="n">
        <f aca="false">IF(OR($E393="",$F393=""),0,ROUND(MOD($F393-$E393,1)*24-N($G393)/60,2))</f>
        <v>0</v>
      </c>
      <c r="I393" s="47"/>
      <c r="J393" s="48" t="n">
        <f aca="false">IF($A393="",0,YEAR($A393))</f>
        <v>0</v>
      </c>
      <c r="K393" s="43" t="str">
        <f aca="false">IF($A393="","",INDEX(Monate,MONTH($A393)))</f>
        <v/>
      </c>
      <c r="L393" s="48" t="n">
        <f aca="false">IF($A393="",0,WEEKNUM($A393,2))</f>
        <v>0</v>
      </c>
    </row>
    <row r="394" customFormat="false" ht="15" hidden="false" customHeight="false" outlineLevel="0" collapsed="false">
      <c r="A394" s="35"/>
      <c r="B394" s="36"/>
      <c r="C394" s="36"/>
      <c r="D394" s="36"/>
      <c r="E394" s="37"/>
      <c r="F394" s="37"/>
      <c r="G394" s="38"/>
      <c r="H394" s="39" t="n">
        <f aca="false">IF(OR($E394="",$F394=""),0,ROUND(MOD($F394-$E394,1)*24-N($G394)/60,2))</f>
        <v>0</v>
      </c>
      <c r="I394" s="40"/>
      <c r="J394" s="41" t="n">
        <f aca="false">IF($A394="",0,YEAR($A394))</f>
        <v>0</v>
      </c>
      <c r="K394" s="36" t="str">
        <f aca="false">IF($A394="","",INDEX(Monate,MONTH($A394)))</f>
        <v/>
      </c>
      <c r="L394" s="41" t="n">
        <f aca="false">IF($A394="",0,WEEKNUM($A394,2))</f>
        <v>0</v>
      </c>
    </row>
    <row r="395" customFormat="false" ht="15" hidden="false" customHeight="false" outlineLevel="0" collapsed="false">
      <c r="A395" s="42"/>
      <c r="B395" s="43"/>
      <c r="C395" s="43"/>
      <c r="D395" s="43"/>
      <c r="E395" s="44"/>
      <c r="F395" s="44"/>
      <c r="G395" s="45"/>
      <c r="H395" s="46" t="n">
        <f aca="false">IF(OR($E395="",$F395=""),0,ROUND(MOD($F395-$E395,1)*24-N($G395)/60,2))</f>
        <v>0</v>
      </c>
      <c r="I395" s="47"/>
      <c r="J395" s="48" t="n">
        <f aca="false">IF($A395="",0,YEAR($A395))</f>
        <v>0</v>
      </c>
      <c r="K395" s="43" t="str">
        <f aca="false">IF($A395="","",INDEX(Monate,MONTH($A395)))</f>
        <v/>
      </c>
      <c r="L395" s="48" t="n">
        <f aca="false">IF($A395="",0,WEEKNUM($A395,2))</f>
        <v>0</v>
      </c>
    </row>
    <row r="396" customFormat="false" ht="15" hidden="false" customHeight="false" outlineLevel="0" collapsed="false">
      <c r="A396" s="35"/>
      <c r="B396" s="36"/>
      <c r="C396" s="36"/>
      <c r="D396" s="36"/>
      <c r="E396" s="37"/>
      <c r="F396" s="37"/>
      <c r="G396" s="38"/>
      <c r="H396" s="39" t="n">
        <f aca="false">IF(OR($E396="",$F396=""),0,ROUND(MOD($F396-$E396,1)*24-N($G396)/60,2))</f>
        <v>0</v>
      </c>
      <c r="I396" s="40"/>
      <c r="J396" s="41" t="n">
        <f aca="false">IF($A396="",0,YEAR($A396))</f>
        <v>0</v>
      </c>
      <c r="K396" s="36" t="str">
        <f aca="false">IF($A396="","",INDEX(Monate,MONTH($A396)))</f>
        <v/>
      </c>
      <c r="L396" s="41" t="n">
        <f aca="false">IF($A396="",0,WEEKNUM($A396,2))</f>
        <v>0</v>
      </c>
    </row>
    <row r="397" customFormat="false" ht="15" hidden="false" customHeight="false" outlineLevel="0" collapsed="false">
      <c r="A397" s="42"/>
      <c r="B397" s="43"/>
      <c r="C397" s="43"/>
      <c r="D397" s="43"/>
      <c r="E397" s="44"/>
      <c r="F397" s="44"/>
      <c r="G397" s="45"/>
      <c r="H397" s="46" t="n">
        <f aca="false">IF(OR($E397="",$F397=""),0,ROUND(MOD($F397-$E397,1)*24-N($G397)/60,2))</f>
        <v>0</v>
      </c>
      <c r="I397" s="47"/>
      <c r="J397" s="48" t="n">
        <f aca="false">IF($A397="",0,YEAR($A397))</f>
        <v>0</v>
      </c>
      <c r="K397" s="43" t="str">
        <f aca="false">IF($A397="","",INDEX(Monate,MONTH($A397)))</f>
        <v/>
      </c>
      <c r="L397" s="48" t="n">
        <f aca="false">IF($A397="",0,WEEKNUM($A397,2))</f>
        <v>0</v>
      </c>
    </row>
    <row r="398" customFormat="false" ht="15" hidden="false" customHeight="false" outlineLevel="0" collapsed="false">
      <c r="A398" s="35"/>
      <c r="B398" s="36"/>
      <c r="C398" s="36"/>
      <c r="D398" s="36"/>
      <c r="E398" s="37"/>
      <c r="F398" s="37"/>
      <c r="G398" s="38"/>
      <c r="H398" s="39" t="n">
        <f aca="false">IF(OR($E398="",$F398=""),0,ROUND(MOD($F398-$E398,1)*24-N($G398)/60,2))</f>
        <v>0</v>
      </c>
      <c r="I398" s="40"/>
      <c r="J398" s="41" t="n">
        <f aca="false">IF($A398="",0,YEAR($A398))</f>
        <v>0</v>
      </c>
      <c r="K398" s="36" t="str">
        <f aca="false">IF($A398="","",INDEX(Monate,MONTH($A398)))</f>
        <v/>
      </c>
      <c r="L398" s="41" t="n">
        <f aca="false">IF($A398="",0,WEEKNUM($A398,2))</f>
        <v>0</v>
      </c>
    </row>
    <row r="399" customFormat="false" ht="15" hidden="false" customHeight="false" outlineLevel="0" collapsed="false">
      <c r="A399" s="42"/>
      <c r="B399" s="43"/>
      <c r="C399" s="43"/>
      <c r="D399" s="43"/>
      <c r="E399" s="44"/>
      <c r="F399" s="44"/>
      <c r="G399" s="45"/>
      <c r="H399" s="46" t="n">
        <f aca="false">IF(OR($E399="",$F399=""),0,ROUND(MOD($F399-$E399,1)*24-N($G399)/60,2))</f>
        <v>0</v>
      </c>
      <c r="I399" s="47"/>
      <c r="J399" s="48" t="n">
        <f aca="false">IF($A399="",0,YEAR($A399))</f>
        <v>0</v>
      </c>
      <c r="K399" s="43" t="str">
        <f aca="false">IF($A399="","",INDEX(Monate,MONTH($A399)))</f>
        <v/>
      </c>
      <c r="L399" s="48" t="n">
        <f aca="false">IF($A399="",0,WEEKNUM($A399,2))</f>
        <v>0</v>
      </c>
    </row>
    <row r="400" customFormat="false" ht="15" hidden="false" customHeight="false" outlineLevel="0" collapsed="false">
      <c r="A400" s="35"/>
      <c r="B400" s="36"/>
      <c r="C400" s="36"/>
      <c r="D400" s="36"/>
      <c r="E400" s="37"/>
      <c r="F400" s="37"/>
      <c r="G400" s="38"/>
      <c r="H400" s="39" t="n">
        <f aca="false">IF(OR($E400="",$F400=""),0,ROUND(MOD($F400-$E400,1)*24-N($G400)/60,2))</f>
        <v>0</v>
      </c>
      <c r="I400" s="40"/>
      <c r="J400" s="41" t="n">
        <f aca="false">IF($A400="",0,YEAR($A400))</f>
        <v>0</v>
      </c>
      <c r="K400" s="36" t="str">
        <f aca="false">IF($A400="","",INDEX(Monate,MONTH($A400)))</f>
        <v/>
      </c>
      <c r="L400" s="41" t="n">
        <f aca="false">IF($A400="",0,WEEKNUM($A400,2))</f>
        <v>0</v>
      </c>
    </row>
    <row r="401" customFormat="false" ht="15" hidden="false" customHeight="false" outlineLevel="0" collapsed="false">
      <c r="A401" s="42"/>
      <c r="B401" s="43"/>
      <c r="C401" s="43"/>
      <c r="D401" s="43"/>
      <c r="E401" s="44"/>
      <c r="F401" s="44"/>
      <c r="G401" s="45"/>
      <c r="H401" s="46" t="n">
        <f aca="false">IF(OR($E401="",$F401=""),0,ROUND(MOD($F401-$E401,1)*24-N($G401)/60,2))</f>
        <v>0</v>
      </c>
      <c r="I401" s="47"/>
      <c r="J401" s="48" t="n">
        <f aca="false">IF($A401="",0,YEAR($A401))</f>
        <v>0</v>
      </c>
      <c r="K401" s="43" t="str">
        <f aca="false">IF($A401="","",INDEX(Monate,MONTH($A401)))</f>
        <v/>
      </c>
      <c r="L401" s="48" t="n">
        <f aca="false">IF($A401="",0,WEEKNUM($A401,2))</f>
        <v>0</v>
      </c>
    </row>
    <row r="402" customFormat="false" ht="15" hidden="false" customHeight="false" outlineLevel="0" collapsed="false">
      <c r="A402" s="35"/>
      <c r="B402" s="36"/>
      <c r="C402" s="36"/>
      <c r="D402" s="36"/>
      <c r="E402" s="37"/>
      <c r="F402" s="37"/>
      <c r="G402" s="38"/>
      <c r="H402" s="39" t="n">
        <f aca="false">IF(OR($E402="",$F402=""),0,ROUND(MOD($F402-$E402,1)*24-N($G402)/60,2))</f>
        <v>0</v>
      </c>
      <c r="I402" s="40"/>
      <c r="J402" s="41" t="n">
        <f aca="false">IF($A402="",0,YEAR($A402))</f>
        <v>0</v>
      </c>
      <c r="K402" s="36" t="str">
        <f aca="false">IF($A402="","",INDEX(Monate,MONTH($A402)))</f>
        <v/>
      </c>
      <c r="L402" s="41" t="n">
        <f aca="false">IF($A402="",0,WEEKNUM($A402,2))</f>
        <v>0</v>
      </c>
    </row>
    <row r="403" customFormat="false" ht="15" hidden="false" customHeight="false" outlineLevel="0" collapsed="false">
      <c r="A403" s="42"/>
      <c r="B403" s="43"/>
      <c r="C403" s="43"/>
      <c r="D403" s="43"/>
      <c r="E403" s="44"/>
      <c r="F403" s="44"/>
      <c r="G403" s="45"/>
      <c r="H403" s="46" t="n">
        <f aca="false">IF(OR($E403="",$F403=""),0,ROUND(MOD($F403-$E403,1)*24-N($G403)/60,2))</f>
        <v>0</v>
      </c>
      <c r="I403" s="47"/>
      <c r="J403" s="48" t="n">
        <f aca="false">IF($A403="",0,YEAR($A403))</f>
        <v>0</v>
      </c>
      <c r="K403" s="43" t="str">
        <f aca="false">IF($A403="","",INDEX(Monate,MONTH($A403)))</f>
        <v/>
      </c>
      <c r="L403" s="48" t="n">
        <f aca="false">IF($A403="",0,WEEKNUM($A403,2))</f>
        <v>0</v>
      </c>
    </row>
    <row r="404" customFormat="false" ht="15" hidden="false" customHeight="false" outlineLevel="0" collapsed="false">
      <c r="A404" s="35"/>
      <c r="B404" s="36"/>
      <c r="C404" s="36"/>
      <c r="D404" s="36"/>
      <c r="E404" s="37"/>
      <c r="F404" s="37"/>
      <c r="G404" s="38"/>
      <c r="H404" s="39" t="n">
        <f aca="false">IF(OR($E404="",$F404=""),0,ROUND(MOD($F404-$E404,1)*24-N($G404)/60,2))</f>
        <v>0</v>
      </c>
      <c r="I404" s="40"/>
      <c r="J404" s="41" t="n">
        <f aca="false">IF($A404="",0,YEAR($A404))</f>
        <v>0</v>
      </c>
      <c r="K404" s="36" t="str">
        <f aca="false">IF($A404="","",INDEX(Monate,MONTH($A404)))</f>
        <v/>
      </c>
      <c r="L404" s="41" t="n">
        <f aca="false">IF($A404="",0,WEEKNUM($A404,2))</f>
        <v>0</v>
      </c>
    </row>
    <row r="405" customFormat="false" ht="15" hidden="false" customHeight="false" outlineLevel="0" collapsed="false">
      <c r="A405" s="42"/>
      <c r="B405" s="43"/>
      <c r="C405" s="43"/>
      <c r="D405" s="43"/>
      <c r="E405" s="44"/>
      <c r="F405" s="44"/>
      <c r="G405" s="45"/>
      <c r="H405" s="46" t="n">
        <f aca="false">IF(OR($E405="",$F405=""),0,ROUND(MOD($F405-$E405,1)*24-N($G405)/60,2))</f>
        <v>0</v>
      </c>
      <c r="I405" s="47"/>
      <c r="J405" s="48" t="n">
        <f aca="false">IF($A405="",0,YEAR($A405))</f>
        <v>0</v>
      </c>
      <c r="K405" s="43" t="str">
        <f aca="false">IF($A405="","",INDEX(Monate,MONTH($A405)))</f>
        <v/>
      </c>
      <c r="L405" s="48" t="n">
        <f aca="false">IF($A405="",0,WEEKNUM($A405,2))</f>
        <v>0</v>
      </c>
    </row>
    <row r="406" customFormat="false" ht="15" hidden="false" customHeight="false" outlineLevel="0" collapsed="false">
      <c r="A406" s="35"/>
      <c r="B406" s="36"/>
      <c r="C406" s="36"/>
      <c r="D406" s="36"/>
      <c r="E406" s="37"/>
      <c r="F406" s="37"/>
      <c r="G406" s="38"/>
      <c r="H406" s="39" t="n">
        <f aca="false">IF(OR($E406="",$F406=""),0,ROUND(MOD($F406-$E406,1)*24-N($G406)/60,2))</f>
        <v>0</v>
      </c>
      <c r="I406" s="40"/>
      <c r="J406" s="41" t="n">
        <f aca="false">IF($A406="",0,YEAR($A406))</f>
        <v>0</v>
      </c>
      <c r="K406" s="36" t="str">
        <f aca="false">IF($A406="","",INDEX(Monate,MONTH($A406)))</f>
        <v/>
      </c>
      <c r="L406" s="41" t="n">
        <f aca="false">IF($A406="",0,WEEKNUM($A406,2))</f>
        <v>0</v>
      </c>
    </row>
    <row r="407" customFormat="false" ht="15" hidden="false" customHeight="false" outlineLevel="0" collapsed="false">
      <c r="A407" s="42"/>
      <c r="B407" s="43"/>
      <c r="C407" s="43"/>
      <c r="D407" s="43"/>
      <c r="E407" s="44"/>
      <c r="F407" s="44"/>
      <c r="G407" s="45"/>
      <c r="H407" s="46" t="n">
        <f aca="false">IF(OR($E407="",$F407=""),0,ROUND(MOD($F407-$E407,1)*24-N($G407)/60,2))</f>
        <v>0</v>
      </c>
      <c r="I407" s="47"/>
      <c r="J407" s="48" t="n">
        <f aca="false">IF($A407="",0,YEAR($A407))</f>
        <v>0</v>
      </c>
      <c r="K407" s="43" t="str">
        <f aca="false">IF($A407="","",INDEX(Monate,MONTH($A407)))</f>
        <v/>
      </c>
      <c r="L407" s="48" t="n">
        <f aca="false">IF($A407="",0,WEEKNUM($A407,2))</f>
        <v>0</v>
      </c>
    </row>
    <row r="408" customFormat="false" ht="15" hidden="false" customHeight="false" outlineLevel="0" collapsed="false">
      <c r="A408" s="35"/>
      <c r="B408" s="36"/>
      <c r="C408" s="36"/>
      <c r="D408" s="36"/>
      <c r="E408" s="37"/>
      <c r="F408" s="37"/>
      <c r="G408" s="38"/>
      <c r="H408" s="39" t="n">
        <f aca="false">IF(OR($E408="",$F408=""),0,ROUND(MOD($F408-$E408,1)*24-N($G408)/60,2))</f>
        <v>0</v>
      </c>
      <c r="I408" s="40"/>
      <c r="J408" s="41" t="n">
        <f aca="false">IF($A408="",0,YEAR($A408))</f>
        <v>0</v>
      </c>
      <c r="K408" s="36" t="str">
        <f aca="false">IF($A408="","",INDEX(Monate,MONTH($A408)))</f>
        <v/>
      </c>
      <c r="L408" s="41" t="n">
        <f aca="false">IF($A408="",0,WEEKNUM($A408,2))</f>
        <v>0</v>
      </c>
    </row>
    <row r="409" customFormat="false" ht="15" hidden="false" customHeight="false" outlineLevel="0" collapsed="false">
      <c r="A409" s="42"/>
      <c r="B409" s="43"/>
      <c r="C409" s="43"/>
      <c r="D409" s="43"/>
      <c r="E409" s="44"/>
      <c r="F409" s="44"/>
      <c r="G409" s="45"/>
      <c r="H409" s="46" t="n">
        <f aca="false">IF(OR($E409="",$F409=""),0,ROUND(MOD($F409-$E409,1)*24-N($G409)/60,2))</f>
        <v>0</v>
      </c>
      <c r="I409" s="47"/>
      <c r="J409" s="48" t="n">
        <f aca="false">IF($A409="",0,YEAR($A409))</f>
        <v>0</v>
      </c>
      <c r="K409" s="43" t="str">
        <f aca="false">IF($A409="","",INDEX(Monate,MONTH($A409)))</f>
        <v/>
      </c>
      <c r="L409" s="48" t="n">
        <f aca="false">IF($A409="",0,WEEKNUM($A409,2))</f>
        <v>0</v>
      </c>
    </row>
    <row r="410" customFormat="false" ht="15" hidden="false" customHeight="false" outlineLevel="0" collapsed="false">
      <c r="A410" s="35"/>
      <c r="B410" s="36"/>
      <c r="C410" s="36"/>
      <c r="D410" s="36"/>
      <c r="E410" s="37"/>
      <c r="F410" s="37"/>
      <c r="G410" s="38"/>
      <c r="H410" s="39" t="n">
        <f aca="false">IF(OR($E410="",$F410=""),0,ROUND(MOD($F410-$E410,1)*24-N($G410)/60,2))</f>
        <v>0</v>
      </c>
      <c r="I410" s="40"/>
      <c r="J410" s="41" t="n">
        <f aca="false">IF($A410="",0,YEAR($A410))</f>
        <v>0</v>
      </c>
      <c r="K410" s="36" t="str">
        <f aca="false">IF($A410="","",INDEX(Monate,MONTH($A410)))</f>
        <v/>
      </c>
      <c r="L410" s="41" t="n">
        <f aca="false">IF($A410="",0,WEEKNUM($A410,2))</f>
        <v>0</v>
      </c>
    </row>
    <row r="411" customFormat="false" ht="15" hidden="false" customHeight="false" outlineLevel="0" collapsed="false">
      <c r="A411" s="42"/>
      <c r="B411" s="43"/>
      <c r="C411" s="43"/>
      <c r="D411" s="43"/>
      <c r="E411" s="44"/>
      <c r="F411" s="44"/>
      <c r="G411" s="45"/>
      <c r="H411" s="46" t="n">
        <f aca="false">IF(OR($E411="",$F411=""),0,ROUND(MOD($F411-$E411,1)*24-N($G411)/60,2))</f>
        <v>0</v>
      </c>
      <c r="I411" s="47"/>
      <c r="J411" s="48" t="n">
        <f aca="false">IF($A411="",0,YEAR($A411))</f>
        <v>0</v>
      </c>
      <c r="K411" s="43" t="str">
        <f aca="false">IF($A411="","",INDEX(Monate,MONTH($A411)))</f>
        <v/>
      </c>
      <c r="L411" s="48" t="n">
        <f aca="false">IF($A411="",0,WEEKNUM($A411,2))</f>
        <v>0</v>
      </c>
    </row>
    <row r="412" customFormat="false" ht="15" hidden="false" customHeight="false" outlineLevel="0" collapsed="false">
      <c r="A412" s="35"/>
      <c r="B412" s="36"/>
      <c r="C412" s="36"/>
      <c r="D412" s="36"/>
      <c r="E412" s="37"/>
      <c r="F412" s="37"/>
      <c r="G412" s="38"/>
      <c r="H412" s="39" t="n">
        <f aca="false">IF(OR($E412="",$F412=""),0,ROUND(MOD($F412-$E412,1)*24-N($G412)/60,2))</f>
        <v>0</v>
      </c>
      <c r="I412" s="40"/>
      <c r="J412" s="41" t="n">
        <f aca="false">IF($A412="",0,YEAR($A412))</f>
        <v>0</v>
      </c>
      <c r="K412" s="36" t="str">
        <f aca="false">IF($A412="","",INDEX(Monate,MONTH($A412)))</f>
        <v/>
      </c>
      <c r="L412" s="41" t="n">
        <f aca="false">IF($A412="",0,WEEKNUM($A412,2))</f>
        <v>0</v>
      </c>
    </row>
    <row r="413" customFormat="false" ht="15" hidden="false" customHeight="false" outlineLevel="0" collapsed="false">
      <c r="A413" s="42"/>
      <c r="B413" s="43"/>
      <c r="C413" s="43"/>
      <c r="D413" s="43"/>
      <c r="E413" s="44"/>
      <c r="F413" s="44"/>
      <c r="G413" s="45"/>
      <c r="H413" s="46" t="n">
        <f aca="false">IF(OR($E413="",$F413=""),0,ROUND(MOD($F413-$E413,1)*24-N($G413)/60,2))</f>
        <v>0</v>
      </c>
      <c r="I413" s="47"/>
      <c r="J413" s="48" t="n">
        <f aca="false">IF($A413="",0,YEAR($A413))</f>
        <v>0</v>
      </c>
      <c r="K413" s="43" t="str">
        <f aca="false">IF($A413="","",INDEX(Monate,MONTH($A413)))</f>
        <v/>
      </c>
      <c r="L413" s="48" t="n">
        <f aca="false">IF($A413="",0,WEEKNUM($A413,2))</f>
        <v>0</v>
      </c>
    </row>
    <row r="414" customFormat="false" ht="15" hidden="false" customHeight="false" outlineLevel="0" collapsed="false">
      <c r="A414" s="35"/>
      <c r="B414" s="36"/>
      <c r="C414" s="36"/>
      <c r="D414" s="36"/>
      <c r="E414" s="37"/>
      <c r="F414" s="37"/>
      <c r="G414" s="38"/>
      <c r="H414" s="39" t="n">
        <f aca="false">IF(OR($E414="",$F414=""),0,ROUND(MOD($F414-$E414,1)*24-N($G414)/60,2))</f>
        <v>0</v>
      </c>
      <c r="I414" s="40"/>
      <c r="J414" s="41" t="n">
        <f aca="false">IF($A414="",0,YEAR($A414))</f>
        <v>0</v>
      </c>
      <c r="K414" s="36" t="str">
        <f aca="false">IF($A414="","",INDEX(Monate,MONTH($A414)))</f>
        <v/>
      </c>
      <c r="L414" s="41" t="n">
        <f aca="false">IF($A414="",0,WEEKNUM($A414,2))</f>
        <v>0</v>
      </c>
    </row>
    <row r="415" customFormat="false" ht="15" hidden="false" customHeight="false" outlineLevel="0" collapsed="false">
      <c r="A415" s="42"/>
      <c r="B415" s="43"/>
      <c r="C415" s="43"/>
      <c r="D415" s="43"/>
      <c r="E415" s="44"/>
      <c r="F415" s="44"/>
      <c r="G415" s="45"/>
      <c r="H415" s="46" t="n">
        <f aca="false">IF(OR($E415="",$F415=""),0,ROUND(MOD($F415-$E415,1)*24-N($G415)/60,2))</f>
        <v>0</v>
      </c>
      <c r="I415" s="47"/>
      <c r="J415" s="48" t="n">
        <f aca="false">IF($A415="",0,YEAR($A415))</f>
        <v>0</v>
      </c>
      <c r="K415" s="43" t="str">
        <f aca="false">IF($A415="","",INDEX(Monate,MONTH($A415)))</f>
        <v/>
      </c>
      <c r="L415" s="48" t="n">
        <f aca="false">IF($A415="",0,WEEKNUM($A415,2))</f>
        <v>0</v>
      </c>
    </row>
    <row r="416" customFormat="false" ht="15" hidden="false" customHeight="false" outlineLevel="0" collapsed="false">
      <c r="A416" s="35"/>
      <c r="B416" s="36"/>
      <c r="C416" s="36"/>
      <c r="D416" s="36"/>
      <c r="E416" s="37"/>
      <c r="F416" s="37"/>
      <c r="G416" s="38"/>
      <c r="H416" s="39" t="n">
        <f aca="false">IF(OR($E416="",$F416=""),0,ROUND(MOD($F416-$E416,1)*24-N($G416)/60,2))</f>
        <v>0</v>
      </c>
      <c r="I416" s="40"/>
      <c r="J416" s="41" t="n">
        <f aca="false">IF($A416="",0,YEAR($A416))</f>
        <v>0</v>
      </c>
      <c r="K416" s="36" t="str">
        <f aca="false">IF($A416="","",INDEX(Monate,MONTH($A416)))</f>
        <v/>
      </c>
      <c r="L416" s="41" t="n">
        <f aca="false">IF($A416="",0,WEEKNUM($A416,2))</f>
        <v>0</v>
      </c>
    </row>
    <row r="417" customFormat="false" ht="15" hidden="false" customHeight="false" outlineLevel="0" collapsed="false">
      <c r="A417" s="42"/>
      <c r="B417" s="43"/>
      <c r="C417" s="43"/>
      <c r="D417" s="43"/>
      <c r="E417" s="44"/>
      <c r="F417" s="44"/>
      <c r="G417" s="45"/>
      <c r="H417" s="46" t="n">
        <f aca="false">IF(OR($E417="",$F417=""),0,ROUND(MOD($F417-$E417,1)*24-N($G417)/60,2))</f>
        <v>0</v>
      </c>
      <c r="I417" s="47"/>
      <c r="J417" s="48" t="n">
        <f aca="false">IF($A417="",0,YEAR($A417))</f>
        <v>0</v>
      </c>
      <c r="K417" s="43" t="str">
        <f aca="false">IF($A417="","",INDEX(Monate,MONTH($A417)))</f>
        <v/>
      </c>
      <c r="L417" s="48" t="n">
        <f aca="false">IF($A417="",0,WEEKNUM($A417,2))</f>
        <v>0</v>
      </c>
    </row>
    <row r="418" customFormat="false" ht="15" hidden="false" customHeight="false" outlineLevel="0" collapsed="false">
      <c r="A418" s="35"/>
      <c r="B418" s="36"/>
      <c r="C418" s="36"/>
      <c r="D418" s="36"/>
      <c r="E418" s="37"/>
      <c r="F418" s="37"/>
      <c r="G418" s="38"/>
      <c r="H418" s="39" t="n">
        <f aca="false">IF(OR($E418="",$F418=""),0,ROUND(MOD($F418-$E418,1)*24-N($G418)/60,2))</f>
        <v>0</v>
      </c>
      <c r="I418" s="40"/>
      <c r="J418" s="41" t="n">
        <f aca="false">IF($A418="",0,YEAR($A418))</f>
        <v>0</v>
      </c>
      <c r="K418" s="36" t="str">
        <f aca="false">IF($A418="","",INDEX(Monate,MONTH($A418)))</f>
        <v/>
      </c>
      <c r="L418" s="41" t="n">
        <f aca="false">IF($A418="",0,WEEKNUM($A418,2))</f>
        <v>0</v>
      </c>
    </row>
    <row r="419" customFormat="false" ht="15" hidden="false" customHeight="false" outlineLevel="0" collapsed="false">
      <c r="A419" s="42"/>
      <c r="B419" s="43"/>
      <c r="C419" s="43"/>
      <c r="D419" s="43"/>
      <c r="E419" s="44"/>
      <c r="F419" s="44"/>
      <c r="G419" s="45"/>
      <c r="H419" s="46" t="n">
        <f aca="false">IF(OR($E419="",$F419=""),0,ROUND(MOD($F419-$E419,1)*24-N($G419)/60,2))</f>
        <v>0</v>
      </c>
      <c r="I419" s="47"/>
      <c r="J419" s="48" t="n">
        <f aca="false">IF($A419="",0,YEAR($A419))</f>
        <v>0</v>
      </c>
      <c r="K419" s="43" t="str">
        <f aca="false">IF($A419="","",INDEX(Monate,MONTH($A419)))</f>
        <v/>
      </c>
      <c r="L419" s="48" t="n">
        <f aca="false">IF($A419="",0,WEEKNUM($A419,2))</f>
        <v>0</v>
      </c>
    </row>
    <row r="420" customFormat="false" ht="15" hidden="false" customHeight="false" outlineLevel="0" collapsed="false">
      <c r="A420" s="35"/>
      <c r="B420" s="36"/>
      <c r="C420" s="36"/>
      <c r="D420" s="36"/>
      <c r="E420" s="37"/>
      <c r="F420" s="37"/>
      <c r="G420" s="38"/>
      <c r="H420" s="39" t="n">
        <f aca="false">IF(OR($E420="",$F420=""),0,ROUND(MOD($F420-$E420,1)*24-N($G420)/60,2))</f>
        <v>0</v>
      </c>
      <c r="I420" s="40"/>
      <c r="J420" s="41" t="n">
        <f aca="false">IF($A420="",0,YEAR($A420))</f>
        <v>0</v>
      </c>
      <c r="K420" s="36" t="str">
        <f aca="false">IF($A420="","",INDEX(Monate,MONTH($A420)))</f>
        <v/>
      </c>
      <c r="L420" s="41" t="n">
        <f aca="false">IF($A420="",0,WEEKNUM($A420,2))</f>
        <v>0</v>
      </c>
    </row>
    <row r="421" customFormat="false" ht="15" hidden="false" customHeight="false" outlineLevel="0" collapsed="false">
      <c r="A421" s="42"/>
      <c r="B421" s="43"/>
      <c r="C421" s="43"/>
      <c r="D421" s="43"/>
      <c r="E421" s="44"/>
      <c r="F421" s="44"/>
      <c r="G421" s="45"/>
      <c r="H421" s="46" t="n">
        <f aca="false">IF(OR($E421="",$F421=""),0,ROUND(MOD($F421-$E421,1)*24-N($G421)/60,2))</f>
        <v>0</v>
      </c>
      <c r="I421" s="47"/>
      <c r="J421" s="48" t="n">
        <f aca="false">IF($A421="",0,YEAR($A421))</f>
        <v>0</v>
      </c>
      <c r="K421" s="43" t="str">
        <f aca="false">IF($A421="","",INDEX(Monate,MONTH($A421)))</f>
        <v/>
      </c>
      <c r="L421" s="48" t="n">
        <f aca="false">IF($A421="",0,WEEKNUM($A421,2))</f>
        <v>0</v>
      </c>
    </row>
    <row r="422" customFormat="false" ht="15" hidden="false" customHeight="false" outlineLevel="0" collapsed="false">
      <c r="A422" s="35"/>
      <c r="B422" s="36"/>
      <c r="C422" s="36"/>
      <c r="D422" s="36"/>
      <c r="E422" s="37"/>
      <c r="F422" s="37"/>
      <c r="G422" s="38"/>
      <c r="H422" s="39" t="n">
        <f aca="false">IF(OR($E422="",$F422=""),0,ROUND(MOD($F422-$E422,1)*24-N($G422)/60,2))</f>
        <v>0</v>
      </c>
      <c r="I422" s="40"/>
      <c r="J422" s="41" t="n">
        <f aca="false">IF($A422="",0,YEAR($A422))</f>
        <v>0</v>
      </c>
      <c r="K422" s="36" t="str">
        <f aca="false">IF($A422="","",INDEX(Monate,MONTH($A422)))</f>
        <v/>
      </c>
      <c r="L422" s="41" t="n">
        <f aca="false">IF($A422="",0,WEEKNUM($A422,2))</f>
        <v>0</v>
      </c>
    </row>
    <row r="423" customFormat="false" ht="15" hidden="false" customHeight="false" outlineLevel="0" collapsed="false">
      <c r="A423" s="42"/>
      <c r="B423" s="43"/>
      <c r="C423" s="43"/>
      <c r="D423" s="43"/>
      <c r="E423" s="44"/>
      <c r="F423" s="44"/>
      <c r="G423" s="45"/>
      <c r="H423" s="46" t="n">
        <f aca="false">IF(OR($E423="",$F423=""),0,ROUND(MOD($F423-$E423,1)*24-N($G423)/60,2))</f>
        <v>0</v>
      </c>
      <c r="I423" s="47"/>
      <c r="J423" s="48" t="n">
        <f aca="false">IF($A423="",0,YEAR($A423))</f>
        <v>0</v>
      </c>
      <c r="K423" s="43" t="str">
        <f aca="false">IF($A423="","",INDEX(Monate,MONTH($A423)))</f>
        <v/>
      </c>
      <c r="L423" s="48" t="n">
        <f aca="false">IF($A423="",0,WEEKNUM($A423,2))</f>
        <v>0</v>
      </c>
    </row>
    <row r="424" customFormat="false" ht="15" hidden="false" customHeight="false" outlineLevel="0" collapsed="false">
      <c r="A424" s="35"/>
      <c r="B424" s="36"/>
      <c r="C424" s="36"/>
      <c r="D424" s="36"/>
      <c r="E424" s="37"/>
      <c r="F424" s="37"/>
      <c r="G424" s="38"/>
      <c r="H424" s="39" t="n">
        <f aca="false">IF(OR($E424="",$F424=""),0,ROUND(MOD($F424-$E424,1)*24-N($G424)/60,2))</f>
        <v>0</v>
      </c>
      <c r="I424" s="40"/>
      <c r="J424" s="41" t="n">
        <f aca="false">IF($A424="",0,YEAR($A424))</f>
        <v>0</v>
      </c>
      <c r="K424" s="36" t="str">
        <f aca="false">IF($A424="","",INDEX(Monate,MONTH($A424)))</f>
        <v/>
      </c>
      <c r="L424" s="41" t="n">
        <f aca="false">IF($A424="",0,WEEKNUM($A424,2))</f>
        <v>0</v>
      </c>
    </row>
    <row r="425" customFormat="false" ht="15" hidden="false" customHeight="false" outlineLevel="0" collapsed="false">
      <c r="A425" s="42"/>
      <c r="B425" s="43"/>
      <c r="C425" s="43"/>
      <c r="D425" s="43"/>
      <c r="E425" s="44"/>
      <c r="F425" s="44"/>
      <c r="G425" s="45"/>
      <c r="H425" s="46" t="n">
        <f aca="false">IF(OR($E425="",$F425=""),0,ROUND(MOD($F425-$E425,1)*24-N($G425)/60,2))</f>
        <v>0</v>
      </c>
      <c r="I425" s="47"/>
      <c r="J425" s="48" t="n">
        <f aca="false">IF($A425="",0,YEAR($A425))</f>
        <v>0</v>
      </c>
      <c r="K425" s="43" t="str">
        <f aca="false">IF($A425="","",INDEX(Monate,MONTH($A425)))</f>
        <v/>
      </c>
      <c r="L425" s="48" t="n">
        <f aca="false">IF($A425="",0,WEEKNUM($A425,2))</f>
        <v>0</v>
      </c>
    </row>
    <row r="426" customFormat="false" ht="15" hidden="false" customHeight="false" outlineLevel="0" collapsed="false">
      <c r="A426" s="35"/>
      <c r="B426" s="36"/>
      <c r="C426" s="36"/>
      <c r="D426" s="36"/>
      <c r="E426" s="37"/>
      <c r="F426" s="37"/>
      <c r="G426" s="38"/>
      <c r="H426" s="39" t="n">
        <f aca="false">IF(OR($E426="",$F426=""),0,ROUND(MOD($F426-$E426,1)*24-N($G426)/60,2))</f>
        <v>0</v>
      </c>
      <c r="I426" s="40"/>
      <c r="J426" s="41" t="n">
        <f aca="false">IF($A426="",0,YEAR($A426))</f>
        <v>0</v>
      </c>
      <c r="K426" s="36" t="str">
        <f aca="false">IF($A426="","",INDEX(Monate,MONTH($A426)))</f>
        <v/>
      </c>
      <c r="L426" s="41" t="n">
        <f aca="false">IF($A426="",0,WEEKNUM($A426,2))</f>
        <v>0</v>
      </c>
    </row>
    <row r="427" customFormat="false" ht="15" hidden="false" customHeight="false" outlineLevel="0" collapsed="false">
      <c r="A427" s="42"/>
      <c r="B427" s="43"/>
      <c r="C427" s="43"/>
      <c r="D427" s="43"/>
      <c r="E427" s="44"/>
      <c r="F427" s="44"/>
      <c r="G427" s="45"/>
      <c r="H427" s="46" t="n">
        <f aca="false">IF(OR($E427="",$F427=""),0,ROUND(MOD($F427-$E427,1)*24-N($G427)/60,2))</f>
        <v>0</v>
      </c>
      <c r="I427" s="47"/>
      <c r="J427" s="48" t="n">
        <f aca="false">IF($A427="",0,YEAR($A427))</f>
        <v>0</v>
      </c>
      <c r="K427" s="43" t="str">
        <f aca="false">IF($A427="","",INDEX(Monate,MONTH($A427)))</f>
        <v/>
      </c>
      <c r="L427" s="48" t="n">
        <f aca="false">IF($A427="",0,WEEKNUM($A427,2))</f>
        <v>0</v>
      </c>
    </row>
    <row r="428" customFormat="false" ht="15" hidden="false" customHeight="false" outlineLevel="0" collapsed="false">
      <c r="A428" s="35"/>
      <c r="B428" s="36"/>
      <c r="C428" s="36"/>
      <c r="D428" s="36"/>
      <c r="E428" s="37"/>
      <c r="F428" s="37"/>
      <c r="G428" s="38"/>
      <c r="H428" s="39" t="n">
        <f aca="false">IF(OR($E428="",$F428=""),0,ROUND(MOD($F428-$E428,1)*24-N($G428)/60,2))</f>
        <v>0</v>
      </c>
      <c r="I428" s="40"/>
      <c r="J428" s="41" t="n">
        <f aca="false">IF($A428="",0,YEAR($A428))</f>
        <v>0</v>
      </c>
      <c r="K428" s="36" t="str">
        <f aca="false">IF($A428="","",INDEX(Monate,MONTH($A428)))</f>
        <v/>
      </c>
      <c r="L428" s="41" t="n">
        <f aca="false">IF($A428="",0,WEEKNUM($A428,2))</f>
        <v>0</v>
      </c>
    </row>
    <row r="429" customFormat="false" ht="15" hidden="false" customHeight="false" outlineLevel="0" collapsed="false">
      <c r="A429" s="42"/>
      <c r="B429" s="43"/>
      <c r="C429" s="43"/>
      <c r="D429" s="43"/>
      <c r="E429" s="44"/>
      <c r="F429" s="44"/>
      <c r="G429" s="45"/>
      <c r="H429" s="46" t="n">
        <f aca="false">IF(OR($E429="",$F429=""),0,ROUND(MOD($F429-$E429,1)*24-N($G429)/60,2))</f>
        <v>0</v>
      </c>
      <c r="I429" s="47"/>
      <c r="J429" s="48" t="n">
        <f aca="false">IF($A429="",0,YEAR($A429))</f>
        <v>0</v>
      </c>
      <c r="K429" s="43" t="str">
        <f aca="false">IF($A429="","",INDEX(Monate,MONTH($A429)))</f>
        <v/>
      </c>
      <c r="L429" s="48" t="n">
        <f aca="false">IF($A429="",0,WEEKNUM($A429,2))</f>
        <v>0</v>
      </c>
    </row>
    <row r="430" customFormat="false" ht="15" hidden="false" customHeight="false" outlineLevel="0" collapsed="false">
      <c r="A430" s="35"/>
      <c r="B430" s="36"/>
      <c r="C430" s="36"/>
      <c r="D430" s="36"/>
      <c r="E430" s="37"/>
      <c r="F430" s="37"/>
      <c r="G430" s="38"/>
      <c r="H430" s="39" t="n">
        <f aca="false">IF(OR($E430="",$F430=""),0,ROUND(MOD($F430-$E430,1)*24-N($G430)/60,2))</f>
        <v>0</v>
      </c>
      <c r="I430" s="40"/>
      <c r="J430" s="41" t="n">
        <f aca="false">IF($A430="",0,YEAR($A430))</f>
        <v>0</v>
      </c>
      <c r="K430" s="36" t="str">
        <f aca="false">IF($A430="","",INDEX(Monate,MONTH($A430)))</f>
        <v/>
      </c>
      <c r="L430" s="41" t="n">
        <f aca="false">IF($A430="",0,WEEKNUM($A430,2))</f>
        <v>0</v>
      </c>
    </row>
    <row r="431" customFormat="false" ht="15" hidden="false" customHeight="false" outlineLevel="0" collapsed="false">
      <c r="A431" s="42"/>
      <c r="B431" s="43"/>
      <c r="C431" s="43"/>
      <c r="D431" s="43"/>
      <c r="E431" s="44"/>
      <c r="F431" s="44"/>
      <c r="G431" s="45"/>
      <c r="H431" s="46" t="n">
        <f aca="false">IF(OR($E431="",$F431=""),0,ROUND(MOD($F431-$E431,1)*24-N($G431)/60,2))</f>
        <v>0</v>
      </c>
      <c r="I431" s="47"/>
      <c r="J431" s="48" t="n">
        <f aca="false">IF($A431="",0,YEAR($A431))</f>
        <v>0</v>
      </c>
      <c r="K431" s="43" t="str">
        <f aca="false">IF($A431="","",INDEX(Monate,MONTH($A431)))</f>
        <v/>
      </c>
      <c r="L431" s="48" t="n">
        <f aca="false">IF($A431="",0,WEEKNUM($A431,2))</f>
        <v>0</v>
      </c>
    </row>
    <row r="432" customFormat="false" ht="15" hidden="false" customHeight="false" outlineLevel="0" collapsed="false">
      <c r="A432" s="35"/>
      <c r="B432" s="36"/>
      <c r="C432" s="36"/>
      <c r="D432" s="36"/>
      <c r="E432" s="37"/>
      <c r="F432" s="37"/>
      <c r="G432" s="38"/>
      <c r="H432" s="39" t="n">
        <f aca="false">IF(OR($E432="",$F432=""),0,ROUND(MOD($F432-$E432,1)*24-N($G432)/60,2))</f>
        <v>0</v>
      </c>
      <c r="I432" s="40"/>
      <c r="J432" s="41" t="n">
        <f aca="false">IF($A432="",0,YEAR($A432))</f>
        <v>0</v>
      </c>
      <c r="K432" s="36" t="str">
        <f aca="false">IF($A432="","",INDEX(Monate,MONTH($A432)))</f>
        <v/>
      </c>
      <c r="L432" s="41" t="n">
        <f aca="false">IF($A432="",0,WEEKNUM($A432,2))</f>
        <v>0</v>
      </c>
    </row>
    <row r="433" customFormat="false" ht="15" hidden="false" customHeight="false" outlineLevel="0" collapsed="false">
      <c r="A433" s="42"/>
      <c r="B433" s="43"/>
      <c r="C433" s="43"/>
      <c r="D433" s="43"/>
      <c r="E433" s="44"/>
      <c r="F433" s="44"/>
      <c r="G433" s="45"/>
      <c r="H433" s="46" t="n">
        <f aca="false">IF(OR($E433="",$F433=""),0,ROUND(MOD($F433-$E433,1)*24-N($G433)/60,2))</f>
        <v>0</v>
      </c>
      <c r="I433" s="47"/>
      <c r="J433" s="48" t="n">
        <f aca="false">IF($A433="",0,YEAR($A433))</f>
        <v>0</v>
      </c>
      <c r="K433" s="43" t="str">
        <f aca="false">IF($A433="","",INDEX(Monate,MONTH($A433)))</f>
        <v/>
      </c>
      <c r="L433" s="48" t="n">
        <f aca="false">IF($A433="",0,WEEKNUM($A433,2))</f>
        <v>0</v>
      </c>
    </row>
    <row r="434" customFormat="false" ht="15" hidden="false" customHeight="false" outlineLevel="0" collapsed="false">
      <c r="A434" s="35"/>
      <c r="B434" s="36"/>
      <c r="C434" s="36"/>
      <c r="D434" s="36"/>
      <c r="E434" s="37"/>
      <c r="F434" s="37"/>
      <c r="G434" s="38"/>
      <c r="H434" s="39" t="n">
        <f aca="false">IF(OR($E434="",$F434=""),0,ROUND(MOD($F434-$E434,1)*24-N($G434)/60,2))</f>
        <v>0</v>
      </c>
      <c r="I434" s="40"/>
      <c r="J434" s="41" t="n">
        <f aca="false">IF($A434="",0,YEAR($A434))</f>
        <v>0</v>
      </c>
      <c r="K434" s="36" t="str">
        <f aca="false">IF($A434="","",INDEX(Monate,MONTH($A434)))</f>
        <v/>
      </c>
      <c r="L434" s="41" t="n">
        <f aca="false">IF($A434="",0,WEEKNUM($A434,2))</f>
        <v>0</v>
      </c>
    </row>
    <row r="435" customFormat="false" ht="15" hidden="false" customHeight="false" outlineLevel="0" collapsed="false">
      <c r="A435" s="42"/>
      <c r="B435" s="43"/>
      <c r="C435" s="43"/>
      <c r="D435" s="43"/>
      <c r="E435" s="44"/>
      <c r="F435" s="44"/>
      <c r="G435" s="45"/>
      <c r="H435" s="46" t="n">
        <f aca="false">IF(OR($E435="",$F435=""),0,ROUND(MOD($F435-$E435,1)*24-N($G435)/60,2))</f>
        <v>0</v>
      </c>
      <c r="I435" s="47"/>
      <c r="J435" s="48" t="n">
        <f aca="false">IF($A435="",0,YEAR($A435))</f>
        <v>0</v>
      </c>
      <c r="K435" s="43" t="str">
        <f aca="false">IF($A435="","",INDEX(Monate,MONTH($A435)))</f>
        <v/>
      </c>
      <c r="L435" s="48" t="n">
        <f aca="false">IF($A435="",0,WEEKNUM($A435,2))</f>
        <v>0</v>
      </c>
    </row>
    <row r="436" customFormat="false" ht="15" hidden="false" customHeight="false" outlineLevel="0" collapsed="false">
      <c r="A436" s="35"/>
      <c r="B436" s="36"/>
      <c r="C436" s="36"/>
      <c r="D436" s="36"/>
      <c r="E436" s="37"/>
      <c r="F436" s="37"/>
      <c r="G436" s="38"/>
      <c r="H436" s="39" t="n">
        <f aca="false">IF(OR($E436="",$F436=""),0,ROUND(MOD($F436-$E436,1)*24-N($G436)/60,2))</f>
        <v>0</v>
      </c>
      <c r="I436" s="40"/>
      <c r="J436" s="41" t="n">
        <f aca="false">IF($A436="",0,YEAR($A436))</f>
        <v>0</v>
      </c>
      <c r="K436" s="36" t="str">
        <f aca="false">IF($A436="","",INDEX(Monate,MONTH($A436)))</f>
        <v/>
      </c>
      <c r="L436" s="41" t="n">
        <f aca="false">IF($A436="",0,WEEKNUM($A436,2))</f>
        <v>0</v>
      </c>
    </row>
    <row r="437" customFormat="false" ht="15" hidden="false" customHeight="false" outlineLevel="0" collapsed="false">
      <c r="A437" s="42"/>
      <c r="B437" s="43"/>
      <c r="C437" s="43"/>
      <c r="D437" s="43"/>
      <c r="E437" s="44"/>
      <c r="F437" s="44"/>
      <c r="G437" s="45"/>
      <c r="H437" s="46" t="n">
        <f aca="false">IF(OR($E437="",$F437=""),0,ROUND(MOD($F437-$E437,1)*24-N($G437)/60,2))</f>
        <v>0</v>
      </c>
      <c r="I437" s="47"/>
      <c r="J437" s="48" t="n">
        <f aca="false">IF($A437="",0,YEAR($A437))</f>
        <v>0</v>
      </c>
      <c r="K437" s="43" t="str">
        <f aca="false">IF($A437="","",INDEX(Monate,MONTH($A437)))</f>
        <v/>
      </c>
      <c r="L437" s="48" t="n">
        <f aca="false">IF($A437="",0,WEEKNUM($A437,2))</f>
        <v>0</v>
      </c>
    </row>
    <row r="438" customFormat="false" ht="15" hidden="false" customHeight="false" outlineLevel="0" collapsed="false">
      <c r="A438" s="35"/>
      <c r="B438" s="36"/>
      <c r="C438" s="36"/>
      <c r="D438" s="36"/>
      <c r="E438" s="37"/>
      <c r="F438" s="37"/>
      <c r="G438" s="38"/>
      <c r="H438" s="39" t="n">
        <f aca="false">IF(OR($E438="",$F438=""),0,ROUND(MOD($F438-$E438,1)*24-N($G438)/60,2))</f>
        <v>0</v>
      </c>
      <c r="I438" s="40"/>
      <c r="J438" s="41" t="n">
        <f aca="false">IF($A438="",0,YEAR($A438))</f>
        <v>0</v>
      </c>
      <c r="K438" s="36" t="str">
        <f aca="false">IF($A438="","",INDEX(Monate,MONTH($A438)))</f>
        <v/>
      </c>
      <c r="L438" s="41" t="n">
        <f aca="false">IF($A438="",0,WEEKNUM($A438,2))</f>
        <v>0</v>
      </c>
    </row>
    <row r="439" customFormat="false" ht="15" hidden="false" customHeight="false" outlineLevel="0" collapsed="false">
      <c r="A439" s="42"/>
      <c r="B439" s="43"/>
      <c r="C439" s="43"/>
      <c r="D439" s="43"/>
      <c r="E439" s="44"/>
      <c r="F439" s="44"/>
      <c r="G439" s="45"/>
      <c r="H439" s="46" t="n">
        <f aca="false">IF(OR($E439="",$F439=""),0,ROUND(MOD($F439-$E439,1)*24-N($G439)/60,2))</f>
        <v>0</v>
      </c>
      <c r="I439" s="47"/>
      <c r="J439" s="48" t="n">
        <f aca="false">IF($A439="",0,YEAR($A439))</f>
        <v>0</v>
      </c>
      <c r="K439" s="43" t="str">
        <f aca="false">IF($A439="","",INDEX(Monate,MONTH($A439)))</f>
        <v/>
      </c>
      <c r="L439" s="48" t="n">
        <f aca="false">IF($A439="",0,WEEKNUM($A439,2))</f>
        <v>0</v>
      </c>
    </row>
    <row r="440" customFormat="false" ht="15" hidden="false" customHeight="false" outlineLevel="0" collapsed="false">
      <c r="A440" s="35"/>
      <c r="B440" s="36"/>
      <c r="C440" s="36"/>
      <c r="D440" s="36"/>
      <c r="E440" s="37"/>
      <c r="F440" s="37"/>
      <c r="G440" s="38"/>
      <c r="H440" s="39" t="n">
        <f aca="false">IF(OR($E440="",$F440=""),0,ROUND(MOD($F440-$E440,1)*24-N($G440)/60,2))</f>
        <v>0</v>
      </c>
      <c r="I440" s="40"/>
      <c r="J440" s="41" t="n">
        <f aca="false">IF($A440="",0,YEAR($A440))</f>
        <v>0</v>
      </c>
      <c r="K440" s="36" t="str">
        <f aca="false">IF($A440="","",INDEX(Monate,MONTH($A440)))</f>
        <v/>
      </c>
      <c r="L440" s="41" t="n">
        <f aca="false">IF($A440="",0,WEEKNUM($A440,2))</f>
        <v>0</v>
      </c>
    </row>
    <row r="441" customFormat="false" ht="15" hidden="false" customHeight="false" outlineLevel="0" collapsed="false">
      <c r="A441" s="42"/>
      <c r="B441" s="43"/>
      <c r="C441" s="43"/>
      <c r="D441" s="43"/>
      <c r="E441" s="44"/>
      <c r="F441" s="44"/>
      <c r="G441" s="45"/>
      <c r="H441" s="46" t="n">
        <f aca="false">IF(OR($E441="",$F441=""),0,ROUND(MOD($F441-$E441,1)*24-N($G441)/60,2))</f>
        <v>0</v>
      </c>
      <c r="I441" s="47"/>
      <c r="J441" s="48" t="n">
        <f aca="false">IF($A441="",0,YEAR($A441))</f>
        <v>0</v>
      </c>
      <c r="K441" s="43" t="str">
        <f aca="false">IF($A441="","",INDEX(Monate,MONTH($A441)))</f>
        <v/>
      </c>
      <c r="L441" s="48" t="n">
        <f aca="false">IF($A441="",0,WEEKNUM($A441,2))</f>
        <v>0</v>
      </c>
    </row>
    <row r="442" customFormat="false" ht="15" hidden="false" customHeight="false" outlineLevel="0" collapsed="false">
      <c r="A442" s="35"/>
      <c r="B442" s="36"/>
      <c r="C442" s="36"/>
      <c r="D442" s="36"/>
      <c r="E442" s="37"/>
      <c r="F442" s="37"/>
      <c r="G442" s="38"/>
      <c r="H442" s="39" t="n">
        <f aca="false">IF(OR($E442="",$F442=""),0,ROUND(MOD($F442-$E442,1)*24-N($G442)/60,2))</f>
        <v>0</v>
      </c>
      <c r="I442" s="40"/>
      <c r="J442" s="41" t="n">
        <f aca="false">IF($A442="",0,YEAR($A442))</f>
        <v>0</v>
      </c>
      <c r="K442" s="36" t="str">
        <f aca="false">IF($A442="","",INDEX(Monate,MONTH($A442)))</f>
        <v/>
      </c>
      <c r="L442" s="41" t="n">
        <f aca="false">IF($A442="",0,WEEKNUM($A442,2))</f>
        <v>0</v>
      </c>
    </row>
    <row r="443" customFormat="false" ht="15" hidden="false" customHeight="false" outlineLevel="0" collapsed="false">
      <c r="A443" s="42"/>
      <c r="B443" s="43"/>
      <c r="C443" s="43"/>
      <c r="D443" s="43"/>
      <c r="E443" s="44"/>
      <c r="F443" s="44"/>
      <c r="G443" s="45"/>
      <c r="H443" s="46" t="n">
        <f aca="false">IF(OR($E443="",$F443=""),0,ROUND(MOD($F443-$E443,1)*24-N($G443)/60,2))</f>
        <v>0</v>
      </c>
      <c r="I443" s="47"/>
      <c r="J443" s="48" t="n">
        <f aca="false">IF($A443="",0,YEAR($A443))</f>
        <v>0</v>
      </c>
      <c r="K443" s="43" t="str">
        <f aca="false">IF($A443="","",INDEX(Monate,MONTH($A443)))</f>
        <v/>
      </c>
      <c r="L443" s="48" t="n">
        <f aca="false">IF($A443="",0,WEEKNUM($A443,2))</f>
        <v>0</v>
      </c>
    </row>
    <row r="444" customFormat="false" ht="15" hidden="false" customHeight="false" outlineLevel="0" collapsed="false">
      <c r="A444" s="35"/>
      <c r="B444" s="36"/>
      <c r="C444" s="36"/>
      <c r="D444" s="36"/>
      <c r="E444" s="37"/>
      <c r="F444" s="37"/>
      <c r="G444" s="38"/>
      <c r="H444" s="39" t="n">
        <f aca="false">IF(OR($E444="",$F444=""),0,ROUND(MOD($F444-$E444,1)*24-N($G444)/60,2))</f>
        <v>0</v>
      </c>
      <c r="I444" s="40"/>
      <c r="J444" s="41" t="n">
        <f aca="false">IF($A444="",0,YEAR($A444))</f>
        <v>0</v>
      </c>
      <c r="K444" s="36" t="str">
        <f aca="false">IF($A444="","",INDEX(Monate,MONTH($A444)))</f>
        <v/>
      </c>
      <c r="L444" s="41" t="n">
        <f aca="false">IF($A444="",0,WEEKNUM($A444,2))</f>
        <v>0</v>
      </c>
    </row>
    <row r="445" customFormat="false" ht="15" hidden="false" customHeight="false" outlineLevel="0" collapsed="false">
      <c r="A445" s="42"/>
      <c r="B445" s="43"/>
      <c r="C445" s="43"/>
      <c r="D445" s="43"/>
      <c r="E445" s="44"/>
      <c r="F445" s="44"/>
      <c r="G445" s="45"/>
      <c r="H445" s="46" t="n">
        <f aca="false">IF(OR($E445="",$F445=""),0,ROUND(MOD($F445-$E445,1)*24-N($G445)/60,2))</f>
        <v>0</v>
      </c>
      <c r="I445" s="47"/>
      <c r="J445" s="48" t="n">
        <f aca="false">IF($A445="",0,YEAR($A445))</f>
        <v>0</v>
      </c>
      <c r="K445" s="43" t="str">
        <f aca="false">IF($A445="","",INDEX(Monate,MONTH($A445)))</f>
        <v/>
      </c>
      <c r="L445" s="48" t="n">
        <f aca="false">IF($A445="",0,WEEKNUM($A445,2))</f>
        <v>0</v>
      </c>
    </row>
    <row r="446" customFormat="false" ht="15" hidden="false" customHeight="false" outlineLevel="0" collapsed="false">
      <c r="A446" s="35"/>
      <c r="B446" s="36"/>
      <c r="C446" s="36"/>
      <c r="D446" s="36"/>
      <c r="E446" s="37"/>
      <c r="F446" s="37"/>
      <c r="G446" s="38"/>
      <c r="H446" s="39" t="n">
        <f aca="false">IF(OR($E446="",$F446=""),0,ROUND(MOD($F446-$E446,1)*24-N($G446)/60,2))</f>
        <v>0</v>
      </c>
      <c r="I446" s="40"/>
      <c r="J446" s="41" t="n">
        <f aca="false">IF($A446="",0,YEAR($A446))</f>
        <v>0</v>
      </c>
      <c r="K446" s="36" t="str">
        <f aca="false">IF($A446="","",INDEX(Monate,MONTH($A446)))</f>
        <v/>
      </c>
      <c r="L446" s="41" t="n">
        <f aca="false">IF($A446="",0,WEEKNUM($A446,2))</f>
        <v>0</v>
      </c>
    </row>
    <row r="447" customFormat="false" ht="15" hidden="false" customHeight="false" outlineLevel="0" collapsed="false">
      <c r="A447" s="42"/>
      <c r="B447" s="43"/>
      <c r="C447" s="43"/>
      <c r="D447" s="43"/>
      <c r="E447" s="44"/>
      <c r="F447" s="44"/>
      <c r="G447" s="45"/>
      <c r="H447" s="46" t="n">
        <f aca="false">IF(OR($E447="",$F447=""),0,ROUND(MOD($F447-$E447,1)*24-N($G447)/60,2))</f>
        <v>0</v>
      </c>
      <c r="I447" s="47"/>
      <c r="J447" s="48" t="n">
        <f aca="false">IF($A447="",0,YEAR($A447))</f>
        <v>0</v>
      </c>
      <c r="K447" s="43" t="str">
        <f aca="false">IF($A447="","",INDEX(Monate,MONTH($A447)))</f>
        <v/>
      </c>
      <c r="L447" s="48" t="n">
        <f aca="false">IF($A447="",0,WEEKNUM($A447,2))</f>
        <v>0</v>
      </c>
    </row>
    <row r="448" customFormat="false" ht="15" hidden="false" customHeight="false" outlineLevel="0" collapsed="false">
      <c r="A448" s="35"/>
      <c r="B448" s="36"/>
      <c r="C448" s="36"/>
      <c r="D448" s="36"/>
      <c r="E448" s="37"/>
      <c r="F448" s="37"/>
      <c r="G448" s="38"/>
      <c r="H448" s="39" t="n">
        <f aca="false">IF(OR($E448="",$F448=""),0,ROUND(MOD($F448-$E448,1)*24-N($G448)/60,2))</f>
        <v>0</v>
      </c>
      <c r="I448" s="40"/>
      <c r="J448" s="41" t="n">
        <f aca="false">IF($A448="",0,YEAR($A448))</f>
        <v>0</v>
      </c>
      <c r="K448" s="36" t="str">
        <f aca="false">IF($A448="","",INDEX(Monate,MONTH($A448)))</f>
        <v/>
      </c>
      <c r="L448" s="41" t="n">
        <f aca="false">IF($A448="",0,WEEKNUM($A448,2))</f>
        <v>0</v>
      </c>
    </row>
    <row r="449" customFormat="false" ht="15" hidden="false" customHeight="false" outlineLevel="0" collapsed="false">
      <c r="A449" s="42"/>
      <c r="B449" s="43"/>
      <c r="C449" s="43"/>
      <c r="D449" s="43"/>
      <c r="E449" s="44"/>
      <c r="F449" s="44"/>
      <c r="G449" s="45"/>
      <c r="H449" s="46" t="n">
        <f aca="false">IF(OR($E449="",$F449=""),0,ROUND(MOD($F449-$E449,1)*24-N($G449)/60,2))</f>
        <v>0</v>
      </c>
      <c r="I449" s="47"/>
      <c r="J449" s="48" t="n">
        <f aca="false">IF($A449="",0,YEAR($A449))</f>
        <v>0</v>
      </c>
      <c r="K449" s="43" t="str">
        <f aca="false">IF($A449="","",INDEX(Monate,MONTH($A449)))</f>
        <v/>
      </c>
      <c r="L449" s="48" t="n">
        <f aca="false">IF($A449="",0,WEEKNUM($A449,2))</f>
        <v>0</v>
      </c>
    </row>
    <row r="450" customFormat="false" ht="15" hidden="false" customHeight="false" outlineLevel="0" collapsed="false">
      <c r="A450" s="35"/>
      <c r="B450" s="36"/>
      <c r="C450" s="36"/>
      <c r="D450" s="36"/>
      <c r="E450" s="37"/>
      <c r="F450" s="37"/>
      <c r="G450" s="38"/>
      <c r="H450" s="39" t="n">
        <f aca="false">IF(OR($E450="",$F450=""),0,ROUND(MOD($F450-$E450,1)*24-N($G450)/60,2))</f>
        <v>0</v>
      </c>
      <c r="I450" s="40"/>
      <c r="J450" s="41" t="n">
        <f aca="false">IF($A450="",0,YEAR($A450))</f>
        <v>0</v>
      </c>
      <c r="K450" s="36" t="str">
        <f aca="false">IF($A450="","",INDEX(Monate,MONTH($A450)))</f>
        <v/>
      </c>
      <c r="L450" s="41" t="n">
        <f aca="false">IF($A450="",0,WEEKNUM($A450,2))</f>
        <v>0</v>
      </c>
    </row>
    <row r="451" customFormat="false" ht="15" hidden="false" customHeight="false" outlineLevel="0" collapsed="false">
      <c r="A451" s="42"/>
      <c r="B451" s="43"/>
      <c r="C451" s="43"/>
      <c r="D451" s="43"/>
      <c r="E451" s="44"/>
      <c r="F451" s="44"/>
      <c r="G451" s="45"/>
      <c r="H451" s="46" t="n">
        <f aca="false">IF(OR($E451="",$F451=""),0,ROUND(MOD($F451-$E451,1)*24-N($G451)/60,2))</f>
        <v>0</v>
      </c>
      <c r="I451" s="47"/>
      <c r="J451" s="48" t="n">
        <f aca="false">IF($A451="",0,YEAR($A451))</f>
        <v>0</v>
      </c>
      <c r="K451" s="43" t="str">
        <f aca="false">IF($A451="","",INDEX(Monate,MONTH($A451)))</f>
        <v/>
      </c>
      <c r="L451" s="48" t="n">
        <f aca="false">IF($A451="",0,WEEKNUM($A451,2))</f>
        <v>0</v>
      </c>
    </row>
    <row r="452" customFormat="false" ht="15" hidden="false" customHeight="false" outlineLevel="0" collapsed="false">
      <c r="A452" s="35"/>
      <c r="B452" s="36"/>
      <c r="C452" s="36"/>
      <c r="D452" s="36"/>
      <c r="E452" s="37"/>
      <c r="F452" s="37"/>
      <c r="G452" s="38"/>
      <c r="H452" s="39" t="n">
        <f aca="false">IF(OR($E452="",$F452=""),0,ROUND(MOD($F452-$E452,1)*24-N($G452)/60,2))</f>
        <v>0</v>
      </c>
      <c r="I452" s="40"/>
      <c r="J452" s="41" t="n">
        <f aca="false">IF($A452="",0,YEAR($A452))</f>
        <v>0</v>
      </c>
      <c r="K452" s="36" t="str">
        <f aca="false">IF($A452="","",INDEX(Monate,MONTH($A452)))</f>
        <v/>
      </c>
      <c r="L452" s="41" t="n">
        <f aca="false">IF($A452="",0,WEEKNUM($A452,2))</f>
        <v>0</v>
      </c>
    </row>
    <row r="453" customFormat="false" ht="15" hidden="false" customHeight="false" outlineLevel="0" collapsed="false">
      <c r="A453" s="42"/>
      <c r="B453" s="43"/>
      <c r="C453" s="43"/>
      <c r="D453" s="43"/>
      <c r="E453" s="44"/>
      <c r="F453" s="44"/>
      <c r="G453" s="45"/>
      <c r="H453" s="46" t="n">
        <f aca="false">IF(OR($E453="",$F453=""),0,ROUND(MOD($F453-$E453,1)*24-N($G453)/60,2))</f>
        <v>0</v>
      </c>
      <c r="I453" s="47"/>
      <c r="J453" s="48" t="n">
        <f aca="false">IF($A453="",0,YEAR($A453))</f>
        <v>0</v>
      </c>
      <c r="K453" s="43" t="str">
        <f aca="false">IF($A453="","",INDEX(Monate,MONTH($A453)))</f>
        <v/>
      </c>
      <c r="L453" s="48" t="n">
        <f aca="false">IF($A453="",0,WEEKNUM($A453,2))</f>
        <v>0</v>
      </c>
    </row>
    <row r="454" customFormat="false" ht="15" hidden="false" customHeight="false" outlineLevel="0" collapsed="false">
      <c r="A454" s="35"/>
      <c r="B454" s="36"/>
      <c r="C454" s="36"/>
      <c r="D454" s="36"/>
      <c r="E454" s="37"/>
      <c r="F454" s="37"/>
      <c r="G454" s="38"/>
      <c r="H454" s="39" t="n">
        <f aca="false">IF(OR($E454="",$F454=""),0,ROUND(MOD($F454-$E454,1)*24-N($G454)/60,2))</f>
        <v>0</v>
      </c>
      <c r="I454" s="40"/>
      <c r="J454" s="41" t="n">
        <f aca="false">IF($A454="",0,YEAR($A454))</f>
        <v>0</v>
      </c>
      <c r="K454" s="36" t="str">
        <f aca="false">IF($A454="","",INDEX(Monate,MONTH($A454)))</f>
        <v/>
      </c>
      <c r="L454" s="41" t="n">
        <f aca="false">IF($A454="",0,WEEKNUM($A454,2))</f>
        <v>0</v>
      </c>
    </row>
    <row r="455" customFormat="false" ht="15" hidden="false" customHeight="false" outlineLevel="0" collapsed="false">
      <c r="A455" s="42"/>
      <c r="B455" s="43"/>
      <c r="C455" s="43"/>
      <c r="D455" s="43"/>
      <c r="E455" s="44"/>
      <c r="F455" s="44"/>
      <c r="G455" s="45"/>
      <c r="H455" s="46" t="n">
        <f aca="false">IF(OR($E455="",$F455=""),0,ROUND(MOD($F455-$E455,1)*24-N($G455)/60,2))</f>
        <v>0</v>
      </c>
      <c r="I455" s="47"/>
      <c r="J455" s="48" t="n">
        <f aca="false">IF($A455="",0,YEAR($A455))</f>
        <v>0</v>
      </c>
      <c r="K455" s="43" t="str">
        <f aca="false">IF($A455="","",INDEX(Monate,MONTH($A455)))</f>
        <v/>
      </c>
      <c r="L455" s="48" t="n">
        <f aca="false">IF($A455="",0,WEEKNUM($A455,2))</f>
        <v>0</v>
      </c>
    </row>
    <row r="456" customFormat="false" ht="15" hidden="false" customHeight="false" outlineLevel="0" collapsed="false">
      <c r="A456" s="35"/>
      <c r="B456" s="36"/>
      <c r="C456" s="36"/>
      <c r="D456" s="36"/>
      <c r="E456" s="37"/>
      <c r="F456" s="37"/>
      <c r="G456" s="38"/>
      <c r="H456" s="39" t="n">
        <f aca="false">IF(OR($E456="",$F456=""),0,ROUND(MOD($F456-$E456,1)*24-N($G456)/60,2))</f>
        <v>0</v>
      </c>
      <c r="I456" s="40"/>
      <c r="J456" s="41" t="n">
        <f aca="false">IF($A456="",0,YEAR($A456))</f>
        <v>0</v>
      </c>
      <c r="K456" s="36" t="str">
        <f aca="false">IF($A456="","",INDEX(Monate,MONTH($A456)))</f>
        <v/>
      </c>
      <c r="L456" s="41" t="n">
        <f aca="false">IF($A456="",0,WEEKNUM($A456,2))</f>
        <v>0</v>
      </c>
    </row>
    <row r="457" customFormat="false" ht="15" hidden="false" customHeight="false" outlineLevel="0" collapsed="false">
      <c r="A457" s="42"/>
      <c r="B457" s="43"/>
      <c r="C457" s="43"/>
      <c r="D457" s="43"/>
      <c r="E457" s="44"/>
      <c r="F457" s="44"/>
      <c r="G457" s="45"/>
      <c r="H457" s="46" t="n">
        <f aca="false">IF(OR($E457="",$F457=""),0,ROUND(MOD($F457-$E457,1)*24-N($G457)/60,2))</f>
        <v>0</v>
      </c>
      <c r="I457" s="47"/>
      <c r="J457" s="48" t="n">
        <f aca="false">IF($A457="",0,YEAR($A457))</f>
        <v>0</v>
      </c>
      <c r="K457" s="43" t="str">
        <f aca="false">IF($A457="","",INDEX(Monate,MONTH($A457)))</f>
        <v/>
      </c>
      <c r="L457" s="48" t="n">
        <f aca="false">IF($A457="",0,WEEKNUM($A457,2))</f>
        <v>0</v>
      </c>
    </row>
    <row r="458" customFormat="false" ht="15" hidden="false" customHeight="false" outlineLevel="0" collapsed="false">
      <c r="A458" s="35"/>
      <c r="B458" s="36"/>
      <c r="C458" s="36"/>
      <c r="D458" s="36"/>
      <c r="E458" s="37"/>
      <c r="F458" s="37"/>
      <c r="G458" s="38"/>
      <c r="H458" s="39" t="n">
        <f aca="false">IF(OR($E458="",$F458=""),0,ROUND(MOD($F458-$E458,1)*24-N($G458)/60,2))</f>
        <v>0</v>
      </c>
      <c r="I458" s="40"/>
      <c r="J458" s="41" t="n">
        <f aca="false">IF($A458="",0,YEAR($A458))</f>
        <v>0</v>
      </c>
      <c r="K458" s="36" t="str">
        <f aca="false">IF($A458="","",INDEX(Monate,MONTH($A458)))</f>
        <v/>
      </c>
      <c r="L458" s="41" t="n">
        <f aca="false">IF($A458="",0,WEEKNUM($A458,2))</f>
        <v>0</v>
      </c>
    </row>
    <row r="459" customFormat="false" ht="15" hidden="false" customHeight="false" outlineLevel="0" collapsed="false">
      <c r="A459" s="42"/>
      <c r="B459" s="43"/>
      <c r="C459" s="43"/>
      <c r="D459" s="43"/>
      <c r="E459" s="44"/>
      <c r="F459" s="44"/>
      <c r="G459" s="45"/>
      <c r="H459" s="46" t="n">
        <f aca="false">IF(OR($E459="",$F459=""),0,ROUND(MOD($F459-$E459,1)*24-N($G459)/60,2))</f>
        <v>0</v>
      </c>
      <c r="I459" s="47"/>
      <c r="J459" s="48" t="n">
        <f aca="false">IF($A459="",0,YEAR($A459))</f>
        <v>0</v>
      </c>
      <c r="K459" s="43" t="str">
        <f aca="false">IF($A459="","",INDEX(Monate,MONTH($A459)))</f>
        <v/>
      </c>
      <c r="L459" s="48" t="n">
        <f aca="false">IF($A459="",0,WEEKNUM($A459,2))</f>
        <v>0</v>
      </c>
    </row>
    <row r="460" customFormat="false" ht="15" hidden="false" customHeight="false" outlineLevel="0" collapsed="false">
      <c r="A460" s="35"/>
      <c r="B460" s="36"/>
      <c r="C460" s="36"/>
      <c r="D460" s="36"/>
      <c r="E460" s="37"/>
      <c r="F460" s="37"/>
      <c r="G460" s="38"/>
      <c r="H460" s="39" t="n">
        <f aca="false">IF(OR($E460="",$F460=""),0,ROUND(MOD($F460-$E460,1)*24-N($G460)/60,2))</f>
        <v>0</v>
      </c>
      <c r="I460" s="40"/>
      <c r="J460" s="41" t="n">
        <f aca="false">IF($A460="",0,YEAR($A460))</f>
        <v>0</v>
      </c>
      <c r="K460" s="36" t="str">
        <f aca="false">IF($A460="","",INDEX(Monate,MONTH($A460)))</f>
        <v/>
      </c>
      <c r="L460" s="41" t="n">
        <f aca="false">IF($A460="",0,WEEKNUM($A460,2))</f>
        <v>0</v>
      </c>
    </row>
    <row r="461" customFormat="false" ht="15" hidden="false" customHeight="false" outlineLevel="0" collapsed="false">
      <c r="A461" s="42"/>
      <c r="B461" s="43"/>
      <c r="C461" s="43"/>
      <c r="D461" s="43"/>
      <c r="E461" s="44"/>
      <c r="F461" s="44"/>
      <c r="G461" s="45"/>
      <c r="H461" s="46" t="n">
        <f aca="false">IF(OR($E461="",$F461=""),0,ROUND(MOD($F461-$E461,1)*24-N($G461)/60,2))</f>
        <v>0</v>
      </c>
      <c r="I461" s="47"/>
      <c r="J461" s="48" t="n">
        <f aca="false">IF($A461="",0,YEAR($A461))</f>
        <v>0</v>
      </c>
      <c r="K461" s="43" t="str">
        <f aca="false">IF($A461="","",INDEX(Monate,MONTH($A461)))</f>
        <v/>
      </c>
      <c r="L461" s="48" t="n">
        <f aca="false">IF($A461="",0,WEEKNUM($A461,2))</f>
        <v>0</v>
      </c>
    </row>
    <row r="462" customFormat="false" ht="15" hidden="false" customHeight="false" outlineLevel="0" collapsed="false">
      <c r="A462" s="35"/>
      <c r="B462" s="36"/>
      <c r="C462" s="36"/>
      <c r="D462" s="36"/>
      <c r="E462" s="37"/>
      <c r="F462" s="37"/>
      <c r="G462" s="38"/>
      <c r="H462" s="39" t="n">
        <f aca="false">IF(OR($E462="",$F462=""),0,ROUND(MOD($F462-$E462,1)*24-N($G462)/60,2))</f>
        <v>0</v>
      </c>
      <c r="I462" s="40"/>
      <c r="J462" s="41" t="n">
        <f aca="false">IF($A462="",0,YEAR($A462))</f>
        <v>0</v>
      </c>
      <c r="K462" s="36" t="str">
        <f aca="false">IF($A462="","",INDEX(Monate,MONTH($A462)))</f>
        <v/>
      </c>
      <c r="L462" s="41" t="n">
        <f aca="false">IF($A462="",0,WEEKNUM($A462,2))</f>
        <v>0</v>
      </c>
    </row>
    <row r="463" customFormat="false" ht="15" hidden="false" customHeight="false" outlineLevel="0" collapsed="false">
      <c r="A463" s="42"/>
      <c r="B463" s="43"/>
      <c r="C463" s="43"/>
      <c r="D463" s="43"/>
      <c r="E463" s="44"/>
      <c r="F463" s="44"/>
      <c r="G463" s="45"/>
      <c r="H463" s="46" t="n">
        <f aca="false">IF(OR($E463="",$F463=""),0,ROUND(MOD($F463-$E463,1)*24-N($G463)/60,2))</f>
        <v>0</v>
      </c>
      <c r="I463" s="47"/>
      <c r="J463" s="48" t="n">
        <f aca="false">IF($A463="",0,YEAR($A463))</f>
        <v>0</v>
      </c>
      <c r="K463" s="43" t="str">
        <f aca="false">IF($A463="","",INDEX(Monate,MONTH($A463)))</f>
        <v/>
      </c>
      <c r="L463" s="48" t="n">
        <f aca="false">IF($A463="",0,WEEKNUM($A463,2))</f>
        <v>0</v>
      </c>
    </row>
    <row r="464" customFormat="false" ht="15" hidden="false" customHeight="false" outlineLevel="0" collapsed="false">
      <c r="A464" s="35"/>
      <c r="B464" s="36"/>
      <c r="C464" s="36"/>
      <c r="D464" s="36"/>
      <c r="E464" s="37"/>
      <c r="F464" s="37"/>
      <c r="G464" s="38"/>
      <c r="H464" s="39" t="n">
        <f aca="false">IF(OR($E464="",$F464=""),0,ROUND(MOD($F464-$E464,1)*24-N($G464)/60,2))</f>
        <v>0</v>
      </c>
      <c r="I464" s="40"/>
      <c r="J464" s="41" t="n">
        <f aca="false">IF($A464="",0,YEAR($A464))</f>
        <v>0</v>
      </c>
      <c r="K464" s="36" t="str">
        <f aca="false">IF($A464="","",INDEX(Monate,MONTH($A464)))</f>
        <v/>
      </c>
      <c r="L464" s="41" t="n">
        <f aca="false">IF($A464="",0,WEEKNUM($A464,2))</f>
        <v>0</v>
      </c>
    </row>
    <row r="465" customFormat="false" ht="15" hidden="false" customHeight="false" outlineLevel="0" collapsed="false">
      <c r="A465" s="42"/>
      <c r="B465" s="43"/>
      <c r="C465" s="43"/>
      <c r="D465" s="43"/>
      <c r="E465" s="44"/>
      <c r="F465" s="44"/>
      <c r="G465" s="45"/>
      <c r="H465" s="46" t="n">
        <f aca="false">IF(OR($E465="",$F465=""),0,ROUND(MOD($F465-$E465,1)*24-N($G465)/60,2))</f>
        <v>0</v>
      </c>
      <c r="I465" s="47"/>
      <c r="J465" s="48" t="n">
        <f aca="false">IF($A465="",0,YEAR($A465))</f>
        <v>0</v>
      </c>
      <c r="K465" s="43" t="str">
        <f aca="false">IF($A465="","",INDEX(Monate,MONTH($A465)))</f>
        <v/>
      </c>
      <c r="L465" s="48" t="n">
        <f aca="false">IF($A465="",0,WEEKNUM($A465,2))</f>
        <v>0</v>
      </c>
    </row>
    <row r="466" customFormat="false" ht="15" hidden="false" customHeight="false" outlineLevel="0" collapsed="false">
      <c r="A466" s="35"/>
      <c r="B466" s="36"/>
      <c r="C466" s="36"/>
      <c r="D466" s="36"/>
      <c r="E466" s="37"/>
      <c r="F466" s="37"/>
      <c r="G466" s="38"/>
      <c r="H466" s="39" t="n">
        <f aca="false">IF(OR($E466="",$F466=""),0,ROUND(MOD($F466-$E466,1)*24-N($G466)/60,2))</f>
        <v>0</v>
      </c>
      <c r="I466" s="40"/>
      <c r="J466" s="41" t="n">
        <f aca="false">IF($A466="",0,YEAR($A466))</f>
        <v>0</v>
      </c>
      <c r="K466" s="36" t="str">
        <f aca="false">IF($A466="","",INDEX(Monate,MONTH($A466)))</f>
        <v/>
      </c>
      <c r="L466" s="41" t="n">
        <f aca="false">IF($A466="",0,WEEKNUM($A466,2))</f>
        <v>0</v>
      </c>
    </row>
    <row r="467" customFormat="false" ht="15" hidden="false" customHeight="false" outlineLevel="0" collapsed="false">
      <c r="A467" s="42"/>
      <c r="B467" s="43"/>
      <c r="C467" s="43"/>
      <c r="D467" s="43"/>
      <c r="E467" s="44"/>
      <c r="F467" s="44"/>
      <c r="G467" s="45"/>
      <c r="H467" s="46" t="n">
        <f aca="false">IF(OR($E467="",$F467=""),0,ROUND(MOD($F467-$E467,1)*24-N($G467)/60,2))</f>
        <v>0</v>
      </c>
      <c r="I467" s="47"/>
      <c r="J467" s="48" t="n">
        <f aca="false">IF($A467="",0,YEAR($A467))</f>
        <v>0</v>
      </c>
      <c r="K467" s="43" t="str">
        <f aca="false">IF($A467="","",INDEX(Monate,MONTH($A467)))</f>
        <v/>
      </c>
      <c r="L467" s="48" t="n">
        <f aca="false">IF($A467="",0,WEEKNUM($A467,2))</f>
        <v>0</v>
      </c>
    </row>
    <row r="468" customFormat="false" ht="15" hidden="false" customHeight="false" outlineLevel="0" collapsed="false">
      <c r="A468" s="35"/>
      <c r="B468" s="36"/>
      <c r="C468" s="36"/>
      <c r="D468" s="36"/>
      <c r="E468" s="37"/>
      <c r="F468" s="37"/>
      <c r="G468" s="38"/>
      <c r="H468" s="39" t="n">
        <f aca="false">IF(OR($E468="",$F468=""),0,ROUND(MOD($F468-$E468,1)*24-N($G468)/60,2))</f>
        <v>0</v>
      </c>
      <c r="I468" s="40"/>
      <c r="J468" s="41" t="n">
        <f aca="false">IF($A468="",0,YEAR($A468))</f>
        <v>0</v>
      </c>
      <c r="K468" s="36" t="str">
        <f aca="false">IF($A468="","",INDEX(Monate,MONTH($A468)))</f>
        <v/>
      </c>
      <c r="L468" s="41" t="n">
        <f aca="false">IF($A468="",0,WEEKNUM($A468,2))</f>
        <v>0</v>
      </c>
    </row>
    <row r="469" customFormat="false" ht="15" hidden="false" customHeight="false" outlineLevel="0" collapsed="false">
      <c r="A469" s="42"/>
      <c r="B469" s="43"/>
      <c r="C469" s="43"/>
      <c r="D469" s="43"/>
      <c r="E469" s="44"/>
      <c r="F469" s="44"/>
      <c r="G469" s="45"/>
      <c r="H469" s="46" t="n">
        <f aca="false">IF(OR($E469="",$F469=""),0,ROUND(MOD($F469-$E469,1)*24-N($G469)/60,2))</f>
        <v>0</v>
      </c>
      <c r="I469" s="47"/>
      <c r="J469" s="48" t="n">
        <f aca="false">IF($A469="",0,YEAR($A469))</f>
        <v>0</v>
      </c>
      <c r="K469" s="43" t="str">
        <f aca="false">IF($A469="","",INDEX(Monate,MONTH($A469)))</f>
        <v/>
      </c>
      <c r="L469" s="48" t="n">
        <f aca="false">IF($A469="",0,WEEKNUM($A469,2))</f>
        <v>0</v>
      </c>
    </row>
    <row r="470" customFormat="false" ht="15" hidden="false" customHeight="false" outlineLevel="0" collapsed="false">
      <c r="A470" s="35"/>
      <c r="B470" s="36"/>
      <c r="C470" s="36"/>
      <c r="D470" s="36"/>
      <c r="E470" s="37"/>
      <c r="F470" s="37"/>
      <c r="G470" s="38"/>
      <c r="H470" s="39" t="n">
        <f aca="false">IF(OR($E470="",$F470=""),0,ROUND(MOD($F470-$E470,1)*24-N($G470)/60,2))</f>
        <v>0</v>
      </c>
      <c r="I470" s="40"/>
      <c r="J470" s="41" t="n">
        <f aca="false">IF($A470="",0,YEAR($A470))</f>
        <v>0</v>
      </c>
      <c r="K470" s="36" t="str">
        <f aca="false">IF($A470="","",INDEX(Monate,MONTH($A470)))</f>
        <v/>
      </c>
      <c r="L470" s="41" t="n">
        <f aca="false">IF($A470="",0,WEEKNUM($A470,2))</f>
        <v>0</v>
      </c>
    </row>
    <row r="471" customFormat="false" ht="15" hidden="false" customHeight="false" outlineLevel="0" collapsed="false">
      <c r="A471" s="42"/>
      <c r="B471" s="43"/>
      <c r="C471" s="43"/>
      <c r="D471" s="43"/>
      <c r="E471" s="44"/>
      <c r="F471" s="44"/>
      <c r="G471" s="45"/>
      <c r="H471" s="46" t="n">
        <f aca="false">IF(OR($E471="",$F471=""),0,ROUND(MOD($F471-$E471,1)*24-N($G471)/60,2))</f>
        <v>0</v>
      </c>
      <c r="I471" s="47"/>
      <c r="J471" s="48" t="n">
        <f aca="false">IF($A471="",0,YEAR($A471))</f>
        <v>0</v>
      </c>
      <c r="K471" s="43" t="str">
        <f aca="false">IF($A471="","",INDEX(Monate,MONTH($A471)))</f>
        <v/>
      </c>
      <c r="L471" s="48" t="n">
        <f aca="false">IF($A471="",0,WEEKNUM($A471,2))</f>
        <v>0</v>
      </c>
    </row>
    <row r="472" customFormat="false" ht="15" hidden="false" customHeight="false" outlineLevel="0" collapsed="false">
      <c r="A472" s="35"/>
      <c r="B472" s="36"/>
      <c r="C472" s="36"/>
      <c r="D472" s="36"/>
      <c r="E472" s="37"/>
      <c r="F472" s="37"/>
      <c r="G472" s="38"/>
      <c r="H472" s="39" t="n">
        <f aca="false">IF(OR($E472="",$F472=""),0,ROUND(MOD($F472-$E472,1)*24-N($G472)/60,2))</f>
        <v>0</v>
      </c>
      <c r="I472" s="40"/>
      <c r="J472" s="41" t="n">
        <f aca="false">IF($A472="",0,YEAR($A472))</f>
        <v>0</v>
      </c>
      <c r="K472" s="36" t="str">
        <f aca="false">IF($A472="","",INDEX(Monate,MONTH($A472)))</f>
        <v/>
      </c>
      <c r="L472" s="41" t="n">
        <f aca="false">IF($A472="",0,WEEKNUM($A472,2))</f>
        <v>0</v>
      </c>
    </row>
    <row r="473" customFormat="false" ht="15" hidden="false" customHeight="false" outlineLevel="0" collapsed="false">
      <c r="A473" s="42"/>
      <c r="B473" s="43"/>
      <c r="C473" s="43"/>
      <c r="D473" s="43"/>
      <c r="E473" s="44"/>
      <c r="F473" s="44"/>
      <c r="G473" s="45"/>
      <c r="H473" s="46" t="n">
        <f aca="false">IF(OR($E473="",$F473=""),0,ROUND(MOD($F473-$E473,1)*24-N($G473)/60,2))</f>
        <v>0</v>
      </c>
      <c r="I473" s="47"/>
      <c r="J473" s="48" t="n">
        <f aca="false">IF($A473="",0,YEAR($A473))</f>
        <v>0</v>
      </c>
      <c r="K473" s="43" t="str">
        <f aca="false">IF($A473="","",INDEX(Monate,MONTH($A473)))</f>
        <v/>
      </c>
      <c r="L473" s="48" t="n">
        <f aca="false">IF($A473="",0,WEEKNUM($A473,2))</f>
        <v>0</v>
      </c>
    </row>
    <row r="474" customFormat="false" ht="15" hidden="false" customHeight="false" outlineLevel="0" collapsed="false">
      <c r="A474" s="35"/>
      <c r="B474" s="36"/>
      <c r="C474" s="36"/>
      <c r="D474" s="36"/>
      <c r="E474" s="37"/>
      <c r="F474" s="37"/>
      <c r="G474" s="38"/>
      <c r="H474" s="39" t="n">
        <f aca="false">IF(OR($E474="",$F474=""),0,ROUND(MOD($F474-$E474,1)*24-N($G474)/60,2))</f>
        <v>0</v>
      </c>
      <c r="I474" s="40"/>
      <c r="J474" s="41" t="n">
        <f aca="false">IF($A474="",0,YEAR($A474))</f>
        <v>0</v>
      </c>
      <c r="K474" s="36" t="str">
        <f aca="false">IF($A474="","",INDEX(Monate,MONTH($A474)))</f>
        <v/>
      </c>
      <c r="L474" s="41" t="n">
        <f aca="false">IF($A474="",0,WEEKNUM($A474,2))</f>
        <v>0</v>
      </c>
    </row>
    <row r="475" customFormat="false" ht="15" hidden="false" customHeight="false" outlineLevel="0" collapsed="false">
      <c r="A475" s="42"/>
      <c r="B475" s="43"/>
      <c r="C475" s="43"/>
      <c r="D475" s="43"/>
      <c r="E475" s="44"/>
      <c r="F475" s="44"/>
      <c r="G475" s="45"/>
      <c r="H475" s="46" t="n">
        <f aca="false">IF(OR($E475="",$F475=""),0,ROUND(MOD($F475-$E475,1)*24-N($G475)/60,2))</f>
        <v>0</v>
      </c>
      <c r="I475" s="47"/>
      <c r="J475" s="48" t="n">
        <f aca="false">IF($A475="",0,YEAR($A475))</f>
        <v>0</v>
      </c>
      <c r="K475" s="43" t="str">
        <f aca="false">IF($A475="","",INDEX(Monate,MONTH($A475)))</f>
        <v/>
      </c>
      <c r="L475" s="48" t="n">
        <f aca="false">IF($A475="",0,WEEKNUM($A475,2))</f>
        <v>0</v>
      </c>
    </row>
    <row r="476" customFormat="false" ht="15" hidden="false" customHeight="false" outlineLevel="0" collapsed="false">
      <c r="A476" s="35"/>
      <c r="B476" s="36"/>
      <c r="C476" s="36"/>
      <c r="D476" s="36"/>
      <c r="E476" s="37"/>
      <c r="F476" s="37"/>
      <c r="G476" s="38"/>
      <c r="H476" s="39" t="n">
        <f aca="false">IF(OR($E476="",$F476=""),0,ROUND(MOD($F476-$E476,1)*24-N($G476)/60,2))</f>
        <v>0</v>
      </c>
      <c r="I476" s="40"/>
      <c r="J476" s="41" t="n">
        <f aca="false">IF($A476="",0,YEAR($A476))</f>
        <v>0</v>
      </c>
      <c r="K476" s="36" t="str">
        <f aca="false">IF($A476="","",INDEX(Monate,MONTH($A476)))</f>
        <v/>
      </c>
      <c r="L476" s="41" t="n">
        <f aca="false">IF($A476="",0,WEEKNUM($A476,2))</f>
        <v>0</v>
      </c>
    </row>
    <row r="477" customFormat="false" ht="15" hidden="false" customHeight="false" outlineLevel="0" collapsed="false">
      <c r="A477" s="42"/>
      <c r="B477" s="43"/>
      <c r="C477" s="43"/>
      <c r="D477" s="43"/>
      <c r="E477" s="44"/>
      <c r="F477" s="44"/>
      <c r="G477" s="45"/>
      <c r="H477" s="46" t="n">
        <f aca="false">IF(OR($E477="",$F477=""),0,ROUND(MOD($F477-$E477,1)*24-N($G477)/60,2))</f>
        <v>0</v>
      </c>
      <c r="I477" s="47"/>
      <c r="J477" s="48" t="n">
        <f aca="false">IF($A477="",0,YEAR($A477))</f>
        <v>0</v>
      </c>
      <c r="K477" s="43" t="str">
        <f aca="false">IF($A477="","",INDEX(Monate,MONTH($A477)))</f>
        <v/>
      </c>
      <c r="L477" s="48" t="n">
        <f aca="false">IF($A477="",0,WEEKNUM($A477,2))</f>
        <v>0</v>
      </c>
    </row>
    <row r="478" customFormat="false" ht="15" hidden="false" customHeight="false" outlineLevel="0" collapsed="false">
      <c r="A478" s="35"/>
      <c r="B478" s="36"/>
      <c r="C478" s="36"/>
      <c r="D478" s="36"/>
      <c r="E478" s="37"/>
      <c r="F478" s="37"/>
      <c r="G478" s="38"/>
      <c r="H478" s="39" t="n">
        <f aca="false">IF(OR($E478="",$F478=""),0,ROUND(MOD($F478-$E478,1)*24-N($G478)/60,2))</f>
        <v>0</v>
      </c>
      <c r="I478" s="40"/>
      <c r="J478" s="41" t="n">
        <f aca="false">IF($A478="",0,YEAR($A478))</f>
        <v>0</v>
      </c>
      <c r="K478" s="36" t="str">
        <f aca="false">IF($A478="","",INDEX(Monate,MONTH($A478)))</f>
        <v/>
      </c>
      <c r="L478" s="41" t="n">
        <f aca="false">IF($A478="",0,WEEKNUM($A478,2))</f>
        <v>0</v>
      </c>
    </row>
    <row r="479" customFormat="false" ht="15" hidden="false" customHeight="false" outlineLevel="0" collapsed="false">
      <c r="A479" s="42"/>
      <c r="B479" s="43"/>
      <c r="C479" s="43"/>
      <c r="D479" s="43"/>
      <c r="E479" s="44"/>
      <c r="F479" s="44"/>
      <c r="G479" s="45"/>
      <c r="H479" s="46" t="n">
        <f aca="false">IF(OR($E479="",$F479=""),0,ROUND(MOD($F479-$E479,1)*24-N($G479)/60,2))</f>
        <v>0</v>
      </c>
      <c r="I479" s="47"/>
      <c r="J479" s="48" t="n">
        <f aca="false">IF($A479="",0,YEAR($A479))</f>
        <v>0</v>
      </c>
      <c r="K479" s="43" t="str">
        <f aca="false">IF($A479="","",INDEX(Monate,MONTH($A479)))</f>
        <v/>
      </c>
      <c r="L479" s="48" t="n">
        <f aca="false">IF($A479="",0,WEEKNUM($A479,2))</f>
        <v>0</v>
      </c>
    </row>
    <row r="480" customFormat="false" ht="15" hidden="false" customHeight="false" outlineLevel="0" collapsed="false">
      <c r="A480" s="35"/>
      <c r="B480" s="36"/>
      <c r="C480" s="36"/>
      <c r="D480" s="36"/>
      <c r="E480" s="37"/>
      <c r="F480" s="37"/>
      <c r="G480" s="38"/>
      <c r="H480" s="39" t="n">
        <f aca="false">IF(OR($E480="",$F480=""),0,ROUND(MOD($F480-$E480,1)*24-N($G480)/60,2))</f>
        <v>0</v>
      </c>
      <c r="I480" s="40"/>
      <c r="J480" s="41" t="n">
        <f aca="false">IF($A480="",0,YEAR($A480))</f>
        <v>0</v>
      </c>
      <c r="K480" s="36" t="str">
        <f aca="false">IF($A480="","",INDEX(Monate,MONTH($A480)))</f>
        <v/>
      </c>
      <c r="L480" s="41" t="n">
        <f aca="false">IF($A480="",0,WEEKNUM($A480,2))</f>
        <v>0</v>
      </c>
    </row>
    <row r="481" customFormat="false" ht="15" hidden="false" customHeight="false" outlineLevel="0" collapsed="false">
      <c r="A481" s="42"/>
      <c r="B481" s="43"/>
      <c r="C481" s="43"/>
      <c r="D481" s="43"/>
      <c r="E481" s="44"/>
      <c r="F481" s="44"/>
      <c r="G481" s="45"/>
      <c r="H481" s="46" t="n">
        <f aca="false">IF(OR($E481="",$F481=""),0,ROUND(MOD($F481-$E481,1)*24-N($G481)/60,2))</f>
        <v>0</v>
      </c>
      <c r="I481" s="47"/>
      <c r="J481" s="48" t="n">
        <f aca="false">IF($A481="",0,YEAR($A481))</f>
        <v>0</v>
      </c>
      <c r="K481" s="43" t="str">
        <f aca="false">IF($A481="","",INDEX(Monate,MONTH($A481)))</f>
        <v/>
      </c>
      <c r="L481" s="48" t="n">
        <f aca="false">IF($A481="",0,WEEKNUM($A481,2))</f>
        <v>0</v>
      </c>
    </row>
    <row r="482" customFormat="false" ht="15" hidden="false" customHeight="false" outlineLevel="0" collapsed="false">
      <c r="A482" s="35"/>
      <c r="B482" s="36"/>
      <c r="C482" s="36"/>
      <c r="D482" s="36"/>
      <c r="E482" s="37"/>
      <c r="F482" s="37"/>
      <c r="G482" s="38"/>
      <c r="H482" s="39" t="n">
        <f aca="false">IF(OR($E482="",$F482=""),0,ROUND(MOD($F482-$E482,1)*24-N($G482)/60,2))</f>
        <v>0</v>
      </c>
      <c r="I482" s="40"/>
      <c r="J482" s="41" t="n">
        <f aca="false">IF($A482="",0,YEAR($A482))</f>
        <v>0</v>
      </c>
      <c r="K482" s="36" t="str">
        <f aca="false">IF($A482="","",INDEX(Monate,MONTH($A482)))</f>
        <v/>
      </c>
      <c r="L482" s="41" t="n">
        <f aca="false">IF($A482="",0,WEEKNUM($A482,2))</f>
        <v>0</v>
      </c>
    </row>
    <row r="483" customFormat="false" ht="15" hidden="false" customHeight="false" outlineLevel="0" collapsed="false">
      <c r="A483" s="42"/>
      <c r="B483" s="43"/>
      <c r="C483" s="43"/>
      <c r="D483" s="43"/>
      <c r="E483" s="44"/>
      <c r="F483" s="44"/>
      <c r="G483" s="45"/>
      <c r="H483" s="46" t="n">
        <f aca="false">IF(OR($E483="",$F483=""),0,ROUND(MOD($F483-$E483,1)*24-N($G483)/60,2))</f>
        <v>0</v>
      </c>
      <c r="I483" s="47"/>
      <c r="J483" s="48" t="n">
        <f aca="false">IF($A483="",0,YEAR($A483))</f>
        <v>0</v>
      </c>
      <c r="K483" s="43" t="str">
        <f aca="false">IF($A483="","",INDEX(Monate,MONTH($A483)))</f>
        <v/>
      </c>
      <c r="L483" s="48" t="n">
        <f aca="false">IF($A483="",0,WEEKNUM($A483,2))</f>
        <v>0</v>
      </c>
    </row>
    <row r="484" customFormat="false" ht="15" hidden="false" customHeight="false" outlineLevel="0" collapsed="false">
      <c r="A484" s="35"/>
      <c r="B484" s="36"/>
      <c r="C484" s="36"/>
      <c r="D484" s="36"/>
      <c r="E484" s="37"/>
      <c r="F484" s="37"/>
      <c r="G484" s="38"/>
      <c r="H484" s="39" t="n">
        <f aca="false">IF(OR($E484="",$F484=""),0,ROUND(MOD($F484-$E484,1)*24-N($G484)/60,2))</f>
        <v>0</v>
      </c>
      <c r="I484" s="40"/>
      <c r="J484" s="41" t="n">
        <f aca="false">IF($A484="",0,YEAR($A484))</f>
        <v>0</v>
      </c>
      <c r="K484" s="36" t="str">
        <f aca="false">IF($A484="","",INDEX(Monate,MONTH($A484)))</f>
        <v/>
      </c>
      <c r="L484" s="41" t="n">
        <f aca="false">IF($A484="",0,WEEKNUM($A484,2))</f>
        <v>0</v>
      </c>
    </row>
    <row r="485" customFormat="false" ht="15" hidden="false" customHeight="false" outlineLevel="0" collapsed="false">
      <c r="A485" s="42"/>
      <c r="B485" s="43"/>
      <c r="C485" s="43"/>
      <c r="D485" s="43"/>
      <c r="E485" s="44"/>
      <c r="F485" s="44"/>
      <c r="G485" s="45"/>
      <c r="H485" s="46" t="n">
        <f aca="false">IF(OR($E485="",$F485=""),0,ROUND(MOD($F485-$E485,1)*24-N($G485)/60,2))</f>
        <v>0</v>
      </c>
      <c r="I485" s="47"/>
      <c r="J485" s="48" t="n">
        <f aca="false">IF($A485="",0,YEAR($A485))</f>
        <v>0</v>
      </c>
      <c r="K485" s="43" t="str">
        <f aca="false">IF($A485="","",INDEX(Monate,MONTH($A485)))</f>
        <v/>
      </c>
      <c r="L485" s="48" t="n">
        <f aca="false">IF($A485="",0,WEEKNUM($A485,2))</f>
        <v>0</v>
      </c>
    </row>
    <row r="486" customFormat="false" ht="15" hidden="false" customHeight="false" outlineLevel="0" collapsed="false">
      <c r="A486" s="35"/>
      <c r="B486" s="36"/>
      <c r="C486" s="36"/>
      <c r="D486" s="36"/>
      <c r="E486" s="37"/>
      <c r="F486" s="37"/>
      <c r="G486" s="38"/>
      <c r="H486" s="39" t="n">
        <f aca="false">IF(OR($E486="",$F486=""),0,ROUND(MOD($F486-$E486,1)*24-N($G486)/60,2))</f>
        <v>0</v>
      </c>
      <c r="I486" s="40"/>
      <c r="J486" s="41" t="n">
        <f aca="false">IF($A486="",0,YEAR($A486))</f>
        <v>0</v>
      </c>
      <c r="K486" s="36" t="str">
        <f aca="false">IF($A486="","",INDEX(Monate,MONTH($A486)))</f>
        <v/>
      </c>
      <c r="L486" s="41" t="n">
        <f aca="false">IF($A486="",0,WEEKNUM($A486,2))</f>
        <v>0</v>
      </c>
    </row>
    <row r="487" customFormat="false" ht="15" hidden="false" customHeight="false" outlineLevel="0" collapsed="false">
      <c r="A487" s="42"/>
      <c r="B487" s="43"/>
      <c r="C487" s="43"/>
      <c r="D487" s="43"/>
      <c r="E487" s="44"/>
      <c r="F487" s="44"/>
      <c r="G487" s="45"/>
      <c r="H487" s="46" t="n">
        <f aca="false">IF(OR($E487="",$F487=""),0,ROUND(MOD($F487-$E487,1)*24-N($G487)/60,2))</f>
        <v>0</v>
      </c>
      <c r="I487" s="47"/>
      <c r="J487" s="48" t="n">
        <f aca="false">IF($A487="",0,YEAR($A487))</f>
        <v>0</v>
      </c>
      <c r="K487" s="43" t="str">
        <f aca="false">IF($A487="","",INDEX(Monate,MONTH($A487)))</f>
        <v/>
      </c>
      <c r="L487" s="48" t="n">
        <f aca="false">IF($A487="",0,WEEKNUM($A487,2))</f>
        <v>0</v>
      </c>
    </row>
    <row r="488" customFormat="false" ht="15" hidden="false" customHeight="false" outlineLevel="0" collapsed="false">
      <c r="A488" s="35"/>
      <c r="B488" s="36"/>
      <c r="C488" s="36"/>
      <c r="D488" s="36"/>
      <c r="E488" s="37"/>
      <c r="F488" s="37"/>
      <c r="G488" s="38"/>
      <c r="H488" s="39" t="n">
        <f aca="false">IF(OR($E488="",$F488=""),0,ROUND(MOD($F488-$E488,1)*24-N($G488)/60,2))</f>
        <v>0</v>
      </c>
      <c r="I488" s="40"/>
      <c r="J488" s="41" t="n">
        <f aca="false">IF($A488="",0,YEAR($A488))</f>
        <v>0</v>
      </c>
      <c r="K488" s="36" t="str">
        <f aca="false">IF($A488="","",INDEX(Monate,MONTH($A488)))</f>
        <v/>
      </c>
      <c r="L488" s="41" t="n">
        <f aca="false">IF($A488="",0,WEEKNUM($A488,2))</f>
        <v>0</v>
      </c>
    </row>
    <row r="489" customFormat="false" ht="15" hidden="false" customHeight="false" outlineLevel="0" collapsed="false">
      <c r="A489" s="42"/>
      <c r="B489" s="43"/>
      <c r="C489" s="43"/>
      <c r="D489" s="43"/>
      <c r="E489" s="44"/>
      <c r="F489" s="44"/>
      <c r="G489" s="45"/>
      <c r="H489" s="46" t="n">
        <f aca="false">IF(OR($E489="",$F489=""),0,ROUND(MOD($F489-$E489,1)*24-N($G489)/60,2))</f>
        <v>0</v>
      </c>
      <c r="I489" s="47"/>
      <c r="J489" s="48" t="n">
        <f aca="false">IF($A489="",0,YEAR($A489))</f>
        <v>0</v>
      </c>
      <c r="K489" s="43" t="str">
        <f aca="false">IF($A489="","",INDEX(Monate,MONTH($A489)))</f>
        <v/>
      </c>
      <c r="L489" s="48" t="n">
        <f aca="false">IF($A489="",0,WEEKNUM($A489,2))</f>
        <v>0</v>
      </c>
    </row>
    <row r="490" customFormat="false" ht="15" hidden="false" customHeight="false" outlineLevel="0" collapsed="false">
      <c r="A490" s="35"/>
      <c r="B490" s="36"/>
      <c r="C490" s="36"/>
      <c r="D490" s="36"/>
      <c r="E490" s="37"/>
      <c r="F490" s="37"/>
      <c r="G490" s="38"/>
      <c r="H490" s="39" t="n">
        <f aca="false">IF(OR($E490="",$F490=""),0,ROUND(MOD($F490-$E490,1)*24-N($G490)/60,2))</f>
        <v>0</v>
      </c>
      <c r="I490" s="40"/>
      <c r="J490" s="41" t="n">
        <f aca="false">IF($A490="",0,YEAR($A490))</f>
        <v>0</v>
      </c>
      <c r="K490" s="36" t="str">
        <f aca="false">IF($A490="","",INDEX(Monate,MONTH($A490)))</f>
        <v/>
      </c>
      <c r="L490" s="41" t="n">
        <f aca="false">IF($A490="",0,WEEKNUM($A490,2))</f>
        <v>0</v>
      </c>
    </row>
    <row r="491" customFormat="false" ht="15" hidden="false" customHeight="false" outlineLevel="0" collapsed="false">
      <c r="A491" s="42"/>
      <c r="B491" s="43"/>
      <c r="C491" s="43"/>
      <c r="D491" s="43"/>
      <c r="E491" s="44"/>
      <c r="F491" s="44"/>
      <c r="G491" s="45"/>
      <c r="H491" s="46" t="n">
        <f aca="false">IF(OR($E491="",$F491=""),0,ROUND(MOD($F491-$E491,1)*24-N($G491)/60,2))</f>
        <v>0</v>
      </c>
      <c r="I491" s="47"/>
      <c r="J491" s="48" t="n">
        <f aca="false">IF($A491="",0,YEAR($A491))</f>
        <v>0</v>
      </c>
      <c r="K491" s="43" t="str">
        <f aca="false">IF($A491="","",INDEX(Monate,MONTH($A491)))</f>
        <v/>
      </c>
      <c r="L491" s="48" t="n">
        <f aca="false">IF($A491="",0,WEEKNUM($A491,2))</f>
        <v>0</v>
      </c>
    </row>
    <row r="492" customFormat="false" ht="15" hidden="false" customHeight="false" outlineLevel="0" collapsed="false">
      <c r="A492" s="35"/>
      <c r="B492" s="36"/>
      <c r="C492" s="36"/>
      <c r="D492" s="36"/>
      <c r="E492" s="37"/>
      <c r="F492" s="37"/>
      <c r="G492" s="38"/>
      <c r="H492" s="39" t="n">
        <f aca="false">IF(OR($E492="",$F492=""),0,ROUND(MOD($F492-$E492,1)*24-N($G492)/60,2))</f>
        <v>0</v>
      </c>
      <c r="I492" s="40"/>
      <c r="J492" s="41" t="n">
        <f aca="false">IF($A492="",0,YEAR($A492))</f>
        <v>0</v>
      </c>
      <c r="K492" s="36" t="str">
        <f aca="false">IF($A492="","",INDEX(Monate,MONTH($A492)))</f>
        <v/>
      </c>
      <c r="L492" s="41" t="n">
        <f aca="false">IF($A492="",0,WEEKNUM($A492,2))</f>
        <v>0</v>
      </c>
    </row>
    <row r="493" customFormat="false" ht="15" hidden="false" customHeight="false" outlineLevel="0" collapsed="false">
      <c r="A493" s="42"/>
      <c r="B493" s="43"/>
      <c r="C493" s="43"/>
      <c r="D493" s="43"/>
      <c r="E493" s="44"/>
      <c r="F493" s="44"/>
      <c r="G493" s="45"/>
      <c r="H493" s="46" t="n">
        <f aca="false">IF(OR($E493="",$F493=""),0,ROUND(MOD($F493-$E493,1)*24-N($G493)/60,2))</f>
        <v>0</v>
      </c>
      <c r="I493" s="47"/>
      <c r="J493" s="48" t="n">
        <f aca="false">IF($A493="",0,YEAR($A493))</f>
        <v>0</v>
      </c>
      <c r="K493" s="43" t="str">
        <f aca="false">IF($A493="","",INDEX(Monate,MONTH($A493)))</f>
        <v/>
      </c>
      <c r="L493" s="48" t="n">
        <f aca="false">IF($A493="",0,WEEKNUM($A493,2))</f>
        <v>0</v>
      </c>
    </row>
    <row r="494" customFormat="false" ht="15" hidden="false" customHeight="false" outlineLevel="0" collapsed="false">
      <c r="A494" s="35"/>
      <c r="B494" s="36"/>
      <c r="C494" s="36"/>
      <c r="D494" s="36"/>
      <c r="E494" s="37"/>
      <c r="F494" s="37"/>
      <c r="G494" s="38"/>
      <c r="H494" s="39" t="n">
        <f aca="false">IF(OR($E494="",$F494=""),0,ROUND(MOD($F494-$E494,1)*24-N($G494)/60,2))</f>
        <v>0</v>
      </c>
      <c r="I494" s="40"/>
      <c r="J494" s="41" t="n">
        <f aca="false">IF($A494="",0,YEAR($A494))</f>
        <v>0</v>
      </c>
      <c r="K494" s="36" t="str">
        <f aca="false">IF($A494="","",INDEX(Monate,MONTH($A494)))</f>
        <v/>
      </c>
      <c r="L494" s="41" t="n">
        <f aca="false">IF($A494="",0,WEEKNUM($A494,2))</f>
        <v>0</v>
      </c>
    </row>
    <row r="495" customFormat="false" ht="15" hidden="false" customHeight="false" outlineLevel="0" collapsed="false">
      <c r="A495" s="42"/>
      <c r="B495" s="43"/>
      <c r="C495" s="43"/>
      <c r="D495" s="43"/>
      <c r="E495" s="44"/>
      <c r="F495" s="44"/>
      <c r="G495" s="45"/>
      <c r="H495" s="46" t="n">
        <f aca="false">IF(OR($E495="",$F495=""),0,ROUND(MOD($F495-$E495,1)*24-N($G495)/60,2))</f>
        <v>0</v>
      </c>
      <c r="I495" s="47"/>
      <c r="J495" s="48" t="n">
        <f aca="false">IF($A495="",0,YEAR($A495))</f>
        <v>0</v>
      </c>
      <c r="K495" s="43" t="str">
        <f aca="false">IF($A495="","",INDEX(Monate,MONTH($A495)))</f>
        <v/>
      </c>
      <c r="L495" s="48" t="n">
        <f aca="false">IF($A495="",0,WEEKNUM($A495,2))</f>
        <v>0</v>
      </c>
    </row>
    <row r="496" customFormat="false" ht="15" hidden="false" customHeight="false" outlineLevel="0" collapsed="false">
      <c r="A496" s="35"/>
      <c r="B496" s="36"/>
      <c r="C496" s="36"/>
      <c r="D496" s="36"/>
      <c r="E496" s="37"/>
      <c r="F496" s="37"/>
      <c r="G496" s="38"/>
      <c r="H496" s="39" t="n">
        <f aca="false">IF(OR($E496="",$F496=""),0,ROUND(MOD($F496-$E496,1)*24-N($G496)/60,2))</f>
        <v>0</v>
      </c>
      <c r="I496" s="40"/>
      <c r="J496" s="41" t="n">
        <f aca="false">IF($A496="",0,YEAR($A496))</f>
        <v>0</v>
      </c>
      <c r="K496" s="36" t="str">
        <f aca="false">IF($A496="","",INDEX(Monate,MONTH($A496)))</f>
        <v/>
      </c>
      <c r="L496" s="41" t="n">
        <f aca="false">IF($A496="",0,WEEKNUM($A496,2))</f>
        <v>0</v>
      </c>
    </row>
    <row r="497" customFormat="false" ht="15" hidden="false" customHeight="false" outlineLevel="0" collapsed="false">
      <c r="A497" s="42"/>
      <c r="B497" s="43"/>
      <c r="C497" s="43"/>
      <c r="D497" s="43"/>
      <c r="E497" s="44"/>
      <c r="F497" s="44"/>
      <c r="G497" s="45"/>
      <c r="H497" s="46" t="n">
        <f aca="false">IF(OR($E497="",$F497=""),0,ROUND(MOD($F497-$E497,1)*24-N($G497)/60,2))</f>
        <v>0</v>
      </c>
      <c r="I497" s="47"/>
      <c r="J497" s="48" t="n">
        <f aca="false">IF($A497="",0,YEAR($A497))</f>
        <v>0</v>
      </c>
      <c r="K497" s="43" t="str">
        <f aca="false">IF($A497="","",INDEX(Monate,MONTH($A497)))</f>
        <v/>
      </c>
      <c r="L497" s="48" t="n">
        <f aca="false">IF($A497="",0,WEEKNUM($A497,2))</f>
        <v>0</v>
      </c>
    </row>
    <row r="498" customFormat="false" ht="15" hidden="false" customHeight="false" outlineLevel="0" collapsed="false">
      <c r="A498" s="35"/>
      <c r="B498" s="36"/>
      <c r="C498" s="36"/>
      <c r="D498" s="36"/>
      <c r="E498" s="37"/>
      <c r="F498" s="37"/>
      <c r="G498" s="38"/>
      <c r="H498" s="39" t="n">
        <f aca="false">IF(OR($E498="",$F498=""),0,ROUND(MOD($F498-$E498,1)*24-N($G498)/60,2))</f>
        <v>0</v>
      </c>
      <c r="I498" s="40"/>
      <c r="J498" s="41" t="n">
        <f aca="false">IF($A498="",0,YEAR($A498))</f>
        <v>0</v>
      </c>
      <c r="K498" s="36" t="str">
        <f aca="false">IF($A498="","",INDEX(Monate,MONTH($A498)))</f>
        <v/>
      </c>
      <c r="L498" s="41" t="n">
        <f aca="false">IF($A498="",0,WEEKNUM($A498,2))</f>
        <v>0</v>
      </c>
    </row>
    <row r="499" customFormat="false" ht="15" hidden="false" customHeight="false" outlineLevel="0" collapsed="false">
      <c r="A499" s="42"/>
      <c r="B499" s="43"/>
      <c r="C499" s="43"/>
      <c r="D499" s="43"/>
      <c r="E499" s="44"/>
      <c r="F499" s="44"/>
      <c r="G499" s="45"/>
      <c r="H499" s="46" t="n">
        <f aca="false">IF(OR($E499="",$F499=""),0,ROUND(MOD($F499-$E499,1)*24-N($G499)/60,2))</f>
        <v>0</v>
      </c>
      <c r="I499" s="47"/>
      <c r="J499" s="48" t="n">
        <f aca="false">IF($A499="",0,YEAR($A499))</f>
        <v>0</v>
      </c>
      <c r="K499" s="43" t="str">
        <f aca="false">IF($A499="","",INDEX(Monate,MONTH($A499)))</f>
        <v/>
      </c>
      <c r="L499" s="48" t="n">
        <f aca="false">IF($A499="",0,WEEKNUM($A499,2))</f>
        <v>0</v>
      </c>
    </row>
    <row r="500" customFormat="false" ht="15" hidden="false" customHeight="false" outlineLevel="0" collapsed="false">
      <c r="A500" s="35"/>
      <c r="B500" s="36"/>
      <c r="C500" s="36"/>
      <c r="D500" s="36"/>
      <c r="E500" s="37"/>
      <c r="F500" s="37"/>
      <c r="G500" s="38"/>
      <c r="H500" s="39" t="n">
        <f aca="false">IF(OR($E500="",$F500=""),0,ROUND(MOD($F500-$E500,1)*24-N($G500)/60,2))</f>
        <v>0</v>
      </c>
      <c r="I500" s="40"/>
      <c r="J500" s="41" t="n">
        <f aca="false">IF($A500="",0,YEAR($A500))</f>
        <v>0</v>
      </c>
      <c r="K500" s="36" t="str">
        <f aca="false">IF($A500="","",INDEX(Monate,MONTH($A500)))</f>
        <v/>
      </c>
      <c r="L500" s="41" t="n">
        <f aca="false">IF($A500="",0,WEEKNUM($A500,2))</f>
        <v>0</v>
      </c>
    </row>
    <row r="501" customFormat="false" ht="15" hidden="false" customHeight="false" outlineLevel="0" collapsed="false">
      <c r="A501" s="42"/>
      <c r="B501" s="43"/>
      <c r="C501" s="43"/>
      <c r="D501" s="43"/>
      <c r="E501" s="44"/>
      <c r="F501" s="44"/>
      <c r="G501" s="45"/>
      <c r="H501" s="46" t="n">
        <f aca="false">IF(OR($E501="",$F501=""),0,ROUND(MOD($F501-$E501,1)*24-N($G501)/60,2))</f>
        <v>0</v>
      </c>
      <c r="I501" s="47"/>
      <c r="J501" s="48" t="n">
        <f aca="false">IF($A501="",0,YEAR($A501))</f>
        <v>0</v>
      </c>
      <c r="K501" s="43" t="str">
        <f aca="false">IF($A501="","",INDEX(Monate,MONTH($A501)))</f>
        <v/>
      </c>
      <c r="L501" s="48" t="n">
        <f aca="false">IF($A501="",0,WEEKNUM($A501,2))</f>
        <v>0</v>
      </c>
    </row>
  </sheetData>
  <autoFilter ref="A1:L501"/>
  <conditionalFormatting sqref="I2:I501">
    <cfRule type="cellIs" priority="2" operator="equal" aboveAverage="0" equalAverage="0" bottom="0" percent="0" rank="0" text="" dxfId="7">
      <formula>"Erledigt"</formula>
    </cfRule>
    <cfRule type="cellIs" priority="3" operator="equal" aboveAverage="0" equalAverage="0" bottom="0" percent="0" rank="0" text="" dxfId="8">
      <formula>"Läuft"</formula>
    </cfRule>
    <cfRule type="cellIs" priority="4" operator="equal" aboveAverage="0" equalAverage="0" bottom="0" percent="0" rank="0" text="" dxfId="9">
      <formula>"Geplant"</formula>
    </cfRule>
  </conditionalFormatting>
  <dataValidations count="3">
    <dataValidation allowBlank="true" errorStyle="stop" operator="between" showDropDown="false" showErrorMessage="false" showInputMessage="false" sqref="B2:B501" type="list">
      <formula1>Personen</formula1>
      <formula2>0</formula2>
    </dataValidation>
    <dataValidation allowBlank="true" errorStyle="stop" operator="between" showDropDown="false" showErrorMessage="false" showInputMessage="false" sqref="C2:C501" type="list">
      <formula1>Arbeitspakete</formula1>
      <formula2>0</formula2>
    </dataValidation>
    <dataValidation allowBlank="true" errorStyle="stop" operator="between" showDropDown="false" showErrorMessage="false" showInputMessage="false" sqref="I2:I501" type="list">
      <formula1>StatusListe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E8E1"/>
    <pageSetUpPr fitToPage="false"/>
  </sheetPr>
  <dimension ref="B2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"/>
    <col collapsed="false" customWidth="true" hidden="false" outlineLevel="0" max="10" min="10" style="0" width="10"/>
    <col collapsed="false" customWidth="true" hidden="false" outlineLevel="0" max="11" min="11" style="0" width="2"/>
    <col collapsed="false" customWidth="true" hidden="false" outlineLevel="0" max="12" min="12" style="0" width="14"/>
    <col collapsed="false" customWidth="true" hidden="false" outlineLevel="0" max="13" min="13" style="0" width="2"/>
    <col collapsed="false" customWidth="true" hidden="false" outlineLevel="0" max="14" min="14" style="0" width="24"/>
    <col collapsed="false" customWidth="true" hidden="false" outlineLevel="0" max="15" min="15" style="0" width="2"/>
    <col collapsed="false" customWidth="true" hidden="false" outlineLevel="0" max="16" min="16" style="0" width="24"/>
  </cols>
  <sheetData>
    <row r="2" customFormat="false" ht="15" hidden="false" customHeight="false" outlineLevel="0" collapsed="false">
      <c r="B2" s="49" t="s">
        <v>68</v>
      </c>
      <c r="D2" s="49" t="s">
        <v>69</v>
      </c>
      <c r="F2" s="49" t="s">
        <v>70</v>
      </c>
      <c r="H2" s="49" t="s">
        <v>5</v>
      </c>
      <c r="J2" s="49" t="s">
        <v>71</v>
      </c>
      <c r="L2" s="49" t="s">
        <v>72</v>
      </c>
      <c r="N2" s="49" t="s">
        <v>73</v>
      </c>
      <c r="P2" s="49" t="s">
        <v>74</v>
      </c>
    </row>
    <row r="3" customFormat="false" ht="15" hidden="false" customHeight="false" outlineLevel="0" collapsed="false">
      <c r="B3" s="50" t="s">
        <v>18</v>
      </c>
      <c r="D3" s="50" t="s">
        <v>6</v>
      </c>
      <c r="F3" s="50" t="s">
        <v>19</v>
      </c>
      <c r="H3" s="50" t="s">
        <v>75</v>
      </c>
      <c r="J3" s="51" t="n">
        <v>2025</v>
      </c>
      <c r="L3" s="50" t="s">
        <v>76</v>
      </c>
      <c r="N3" s="50" t="s">
        <v>6</v>
      </c>
      <c r="P3" s="50" t="s">
        <v>6</v>
      </c>
    </row>
    <row r="4" customFormat="false" ht="15" hidden="false" customHeight="false" outlineLevel="0" collapsed="false">
      <c r="B4" s="50" t="s">
        <v>20</v>
      </c>
      <c r="D4" s="50" t="s">
        <v>75</v>
      </c>
      <c r="F4" s="50" t="s">
        <v>21</v>
      </c>
      <c r="H4" s="50" t="s">
        <v>66</v>
      </c>
      <c r="J4" s="51" t="n">
        <v>2026</v>
      </c>
      <c r="L4" s="50" t="s">
        <v>77</v>
      </c>
      <c r="N4" s="50" t="s">
        <v>76</v>
      </c>
      <c r="P4" s="50" t="s">
        <v>19</v>
      </c>
    </row>
    <row r="5" customFormat="false" ht="15" hidden="false" customHeight="false" outlineLevel="0" collapsed="false">
      <c r="D5" s="50" t="s">
        <v>66</v>
      </c>
      <c r="F5" s="50" t="s">
        <v>23</v>
      </c>
      <c r="H5" s="50" t="s">
        <v>44</v>
      </c>
      <c r="J5" s="51" t="n">
        <v>2027</v>
      </c>
      <c r="L5" s="50" t="s">
        <v>78</v>
      </c>
      <c r="N5" s="50" t="s">
        <v>77</v>
      </c>
      <c r="P5" s="50" t="s">
        <v>21</v>
      </c>
    </row>
    <row r="6" customFormat="false" ht="15" hidden="false" customHeight="false" outlineLevel="0" collapsed="false">
      <c r="D6" s="50" t="s">
        <v>44</v>
      </c>
      <c r="F6" s="50" t="s">
        <v>24</v>
      </c>
      <c r="L6" s="50" t="s">
        <v>79</v>
      </c>
      <c r="N6" s="50" t="s">
        <v>78</v>
      </c>
      <c r="P6" s="50" t="s">
        <v>23</v>
      </c>
    </row>
    <row r="7" customFormat="false" ht="15" hidden="false" customHeight="false" outlineLevel="0" collapsed="false">
      <c r="F7" s="50" t="s">
        <v>25</v>
      </c>
      <c r="L7" s="50" t="s">
        <v>80</v>
      </c>
      <c r="N7" s="50" t="s">
        <v>79</v>
      </c>
      <c r="P7" s="50" t="s">
        <v>24</v>
      </c>
    </row>
    <row r="8" customFormat="false" ht="15" hidden="false" customHeight="false" outlineLevel="0" collapsed="false">
      <c r="F8" s="50" t="s">
        <v>26</v>
      </c>
      <c r="L8" s="50" t="s">
        <v>81</v>
      </c>
      <c r="N8" s="50" t="s">
        <v>80</v>
      </c>
      <c r="P8" s="50" t="s">
        <v>25</v>
      </c>
    </row>
    <row r="9" customFormat="false" ht="15" hidden="false" customHeight="false" outlineLevel="0" collapsed="false">
      <c r="F9" s="50" t="s">
        <v>27</v>
      </c>
      <c r="L9" s="50" t="s">
        <v>82</v>
      </c>
      <c r="N9" s="50" t="s">
        <v>81</v>
      </c>
      <c r="P9" s="50" t="s">
        <v>26</v>
      </c>
    </row>
    <row r="10" customFormat="false" ht="15" hidden="false" customHeight="false" outlineLevel="0" collapsed="false">
      <c r="F10" s="50" t="s">
        <v>28</v>
      </c>
      <c r="L10" s="50" t="s">
        <v>83</v>
      </c>
      <c r="N10" s="50" t="s">
        <v>82</v>
      </c>
      <c r="P10" s="50" t="s">
        <v>27</v>
      </c>
    </row>
    <row r="11" customFormat="false" ht="15" hidden="false" customHeight="false" outlineLevel="0" collapsed="false">
      <c r="F11" s="50" t="s">
        <v>29</v>
      </c>
      <c r="L11" s="50" t="s">
        <v>84</v>
      </c>
      <c r="N11" s="50" t="s">
        <v>83</v>
      </c>
      <c r="P11" s="50" t="s">
        <v>28</v>
      </c>
    </row>
    <row r="12" customFormat="false" ht="15" hidden="false" customHeight="false" outlineLevel="0" collapsed="false">
      <c r="L12" s="50" t="s">
        <v>85</v>
      </c>
      <c r="N12" s="50" t="s">
        <v>84</v>
      </c>
      <c r="P12" s="50" t="s">
        <v>29</v>
      </c>
    </row>
    <row r="13" customFormat="false" ht="15" hidden="false" customHeight="false" outlineLevel="0" collapsed="false">
      <c r="L13" s="50" t="s">
        <v>86</v>
      </c>
      <c r="N13" s="50" t="s">
        <v>85</v>
      </c>
    </row>
    <row r="14" customFormat="false" ht="15" hidden="false" customHeight="false" outlineLevel="0" collapsed="false">
      <c r="L14" s="50" t="s">
        <v>87</v>
      </c>
      <c r="N14" s="50" t="s">
        <v>86</v>
      </c>
    </row>
    <row r="15" customFormat="false" ht="15" hidden="false" customHeight="false" outlineLevel="0" collapsed="false">
      <c r="B15" s="52" t="s">
        <v>88</v>
      </c>
      <c r="C15" s="52"/>
      <c r="N15" s="50" t="s">
        <v>87</v>
      </c>
    </row>
    <row r="16" customFormat="false" ht="15" hidden="false" customHeight="false" outlineLevel="0" collapsed="false">
      <c r="B16" s="53" t="s">
        <v>89</v>
      </c>
      <c r="C16" s="54" t="n">
        <f aca="false">Dashboard!$B$6</f>
        <v>2026</v>
      </c>
    </row>
    <row r="17" customFormat="false" ht="15" hidden="false" customHeight="false" outlineLevel="0" collapsed="false">
      <c r="B17" s="53" t="s">
        <v>90</v>
      </c>
      <c r="C17" s="55" t="str">
        <f aca="false">IF(Dashboard!$E$6="Alle","*",Dashboard!$E$6)</f>
        <v>*</v>
      </c>
    </row>
    <row r="18" customFormat="false" ht="15" hidden="false" customHeight="false" outlineLevel="0" collapsed="false">
      <c r="B18" s="53" t="s">
        <v>91</v>
      </c>
      <c r="C18" s="55" t="str">
        <f aca="false">IF(Dashboard!$H$6="Alle","*",Dashboard!$H$6)</f>
        <v>*</v>
      </c>
    </row>
    <row r="19" customFormat="false" ht="15" hidden="false" customHeight="false" outlineLevel="0" collapsed="false">
      <c r="B19" s="53" t="s">
        <v>92</v>
      </c>
      <c r="C19" s="55" t="str">
        <f aca="false">IF(Dashboard!$K$6="Alle","*",Dashboard!$K$6)</f>
        <v>*</v>
      </c>
    </row>
    <row r="20" customFormat="false" ht="15" hidden="false" customHeight="false" outlineLevel="0" collapsed="false">
      <c r="B20" s="53" t="s">
        <v>93</v>
      </c>
      <c r="C20" s="56" t="n">
        <f aca="false">IFERROR(MATCH(Dashboard!$E$6,Monate,0),0)</f>
        <v>0</v>
      </c>
    </row>
    <row r="21" customFormat="false" ht="15" hidden="false" customHeight="false" outlineLevel="0" collapsed="false">
      <c r="B21" s="53" t="s">
        <v>94</v>
      </c>
      <c r="C21" s="56" t="n">
        <f aca="false">IF($C$20=0,0,IF($C$20=1,12,$C$20-1))</f>
        <v>0</v>
      </c>
    </row>
    <row r="22" customFormat="false" ht="15" hidden="false" customHeight="false" outlineLevel="0" collapsed="false">
      <c r="B22" s="53" t="s">
        <v>95</v>
      </c>
      <c r="C22" s="55" t="str">
        <f aca="false">IF($C$21=0,"*",INDEX(Monate,$C$21))</f>
        <v>*</v>
      </c>
    </row>
    <row r="23" customFormat="false" ht="15" hidden="false" customHeight="false" outlineLevel="0" collapsed="false">
      <c r="B23" s="53" t="s">
        <v>96</v>
      </c>
      <c r="C23" s="54" t="n">
        <f aca="false">IF($C$20=0,$C$16-1,IF($C$20=1,$C$16-1,$C$16))</f>
        <v>2025</v>
      </c>
    </row>
    <row r="27" customFormat="false" ht="15" hidden="false" customHeight="false" outlineLevel="0" collapsed="false">
      <c r="B27" s="49" t="s">
        <v>3</v>
      </c>
      <c r="C27" s="49" t="s">
        <v>15</v>
      </c>
      <c r="D27" s="49" t="s">
        <v>10</v>
      </c>
      <c r="F27" s="49" t="s">
        <v>4</v>
      </c>
      <c r="G27" s="49" t="s">
        <v>15</v>
      </c>
    </row>
    <row r="28" customFormat="false" ht="15" hidden="false" customHeight="false" outlineLevel="0" collapsed="false">
      <c r="B28" s="57" t="s">
        <v>76</v>
      </c>
      <c r="C28" s="58" t="n">
        <f aca="false">SUMIFS(Daten!$H$2:$H$501,Daten!$J$2:$J$501,$C$16,Daten!$K$2:$K$501,$B28,Daten!$C$2:$C$501,$C$18,Daten!$I$2:$I$501,$C$19)</f>
        <v>0</v>
      </c>
      <c r="D28" s="59" t="n">
        <f aca="false">COUNTIFS(Daten!$J$2:$J$501,$C$16,Daten!$K$2:$K$501,$B28,Daten!$C$2:$C$501,$C$18,Daten!$I$2:$I$501,$C$19)</f>
        <v>0</v>
      </c>
      <c r="F28" s="57" t="s">
        <v>19</v>
      </c>
      <c r="G28" s="58" t="n">
        <f aca="false">SUMIFS(Daten!$H$2:$H$501,Daten!$J$2:$J$501,$C$16,Daten!$K$2:$K$501,$C$17,Daten!$C$2:$C$501,$F28,Daten!$I$2:$I$501,$C$19)</f>
        <v>6</v>
      </c>
    </row>
    <row r="29" customFormat="false" ht="15" hidden="false" customHeight="false" outlineLevel="0" collapsed="false">
      <c r="B29" s="57" t="s">
        <v>77</v>
      </c>
      <c r="C29" s="58" t="n">
        <f aca="false">SUMIFS(Daten!$H$2:$H$501,Daten!$J$2:$J$501,$C$16,Daten!$K$2:$K$501,$B29,Daten!$C$2:$C$501,$C$18,Daten!$I$2:$I$501,$C$19)</f>
        <v>0</v>
      </c>
      <c r="D29" s="59" t="n">
        <f aca="false">COUNTIFS(Daten!$J$2:$J$501,$C$16,Daten!$K$2:$K$501,$B29,Daten!$C$2:$C$501,$C$18,Daten!$I$2:$I$501,$C$19)</f>
        <v>0</v>
      </c>
      <c r="F29" s="57" t="s">
        <v>21</v>
      </c>
      <c r="G29" s="58" t="n">
        <f aca="false">SUMIFS(Daten!$H$2:$H$501,Daten!$J$2:$J$501,$C$16,Daten!$K$2:$K$501,$C$17,Daten!$C$2:$C$501,$F29,Daten!$I$2:$I$501,$C$19)</f>
        <v>7</v>
      </c>
    </row>
    <row r="30" customFormat="false" ht="15" hidden="false" customHeight="false" outlineLevel="0" collapsed="false">
      <c r="B30" s="57" t="s">
        <v>78</v>
      </c>
      <c r="C30" s="58" t="n">
        <f aca="false">SUMIFS(Daten!$H$2:$H$501,Daten!$J$2:$J$501,$C$16,Daten!$K$2:$K$501,$B30,Daten!$C$2:$C$501,$C$18,Daten!$I$2:$I$501,$C$19)</f>
        <v>0</v>
      </c>
      <c r="D30" s="59" t="n">
        <f aca="false">COUNTIFS(Daten!$J$2:$J$501,$C$16,Daten!$K$2:$K$501,$B30,Daten!$C$2:$C$501,$C$18,Daten!$I$2:$I$501,$C$19)</f>
        <v>0</v>
      </c>
      <c r="F30" s="57" t="s">
        <v>23</v>
      </c>
      <c r="G30" s="58" t="n">
        <f aca="false">SUMIFS(Daten!$H$2:$H$501,Daten!$J$2:$J$501,$C$16,Daten!$K$2:$K$501,$C$17,Daten!$C$2:$C$501,$F30,Daten!$I$2:$I$501,$C$19)</f>
        <v>12.5</v>
      </c>
    </row>
    <row r="31" customFormat="false" ht="15" hidden="false" customHeight="false" outlineLevel="0" collapsed="false">
      <c r="B31" s="57" t="s">
        <v>79</v>
      </c>
      <c r="C31" s="58" t="n">
        <f aca="false">SUMIFS(Daten!$H$2:$H$501,Daten!$J$2:$J$501,$C$16,Daten!$K$2:$K$501,$B31,Daten!$C$2:$C$501,$C$18,Daten!$I$2:$I$501,$C$19)</f>
        <v>0</v>
      </c>
      <c r="D31" s="59" t="n">
        <f aca="false">COUNTIFS(Daten!$J$2:$J$501,$C$16,Daten!$K$2:$K$501,$B31,Daten!$C$2:$C$501,$C$18,Daten!$I$2:$I$501,$C$19)</f>
        <v>0</v>
      </c>
      <c r="F31" s="57" t="s">
        <v>24</v>
      </c>
      <c r="G31" s="58" t="n">
        <f aca="false">SUMIFS(Daten!$H$2:$H$501,Daten!$J$2:$J$501,$C$16,Daten!$K$2:$K$501,$C$17,Daten!$C$2:$C$501,$F31,Daten!$I$2:$I$501,$C$19)</f>
        <v>9</v>
      </c>
    </row>
    <row r="32" customFormat="false" ht="15" hidden="false" customHeight="false" outlineLevel="0" collapsed="false">
      <c r="B32" s="57" t="s">
        <v>80</v>
      </c>
      <c r="C32" s="58" t="n">
        <f aca="false">SUMIFS(Daten!$H$2:$H$501,Daten!$J$2:$J$501,$C$16,Daten!$K$2:$K$501,$B32,Daten!$C$2:$C$501,$C$18,Daten!$I$2:$I$501,$C$19)</f>
        <v>0</v>
      </c>
      <c r="D32" s="59" t="n">
        <f aca="false">COUNTIFS(Daten!$J$2:$J$501,$C$16,Daten!$K$2:$K$501,$B32,Daten!$C$2:$C$501,$C$18,Daten!$I$2:$I$501,$C$19)</f>
        <v>0</v>
      </c>
      <c r="F32" s="57" t="s">
        <v>25</v>
      </c>
      <c r="G32" s="58" t="n">
        <f aca="false">SUMIFS(Daten!$H$2:$H$501,Daten!$J$2:$J$501,$C$16,Daten!$K$2:$K$501,$C$17,Daten!$C$2:$C$501,$F32,Daten!$I$2:$I$501,$C$19)</f>
        <v>4</v>
      </c>
    </row>
    <row r="33" customFormat="false" ht="15" hidden="false" customHeight="false" outlineLevel="0" collapsed="false">
      <c r="B33" s="57" t="s">
        <v>81</v>
      </c>
      <c r="C33" s="58" t="n">
        <f aca="false">SUMIFS(Daten!$H$2:$H$501,Daten!$J$2:$J$501,$C$16,Daten!$K$2:$K$501,$B33,Daten!$C$2:$C$501,$C$18,Daten!$I$2:$I$501,$C$19)</f>
        <v>0</v>
      </c>
      <c r="D33" s="59" t="n">
        <f aca="false">COUNTIFS(Daten!$J$2:$J$501,$C$16,Daten!$K$2:$K$501,$B33,Daten!$C$2:$C$501,$C$18,Daten!$I$2:$I$501,$C$19)</f>
        <v>0</v>
      </c>
      <c r="F33" s="57" t="s">
        <v>26</v>
      </c>
      <c r="G33" s="58" t="n">
        <f aca="false">SUMIFS(Daten!$H$2:$H$501,Daten!$J$2:$J$501,$C$16,Daten!$K$2:$K$501,$C$17,Daten!$C$2:$C$501,$F33,Daten!$I$2:$I$501,$C$19)</f>
        <v>12.67</v>
      </c>
    </row>
    <row r="34" customFormat="false" ht="15" hidden="false" customHeight="false" outlineLevel="0" collapsed="false">
      <c r="B34" s="57" t="s">
        <v>82</v>
      </c>
      <c r="C34" s="58" t="n">
        <f aca="false">SUMIFS(Daten!$H$2:$H$501,Daten!$J$2:$J$501,$C$16,Daten!$K$2:$K$501,$B34,Daten!$C$2:$C$501,$C$18,Daten!$I$2:$I$501,$C$19)</f>
        <v>0</v>
      </c>
      <c r="D34" s="59" t="n">
        <f aca="false">COUNTIFS(Daten!$J$2:$J$501,$C$16,Daten!$K$2:$K$501,$B34,Daten!$C$2:$C$501,$C$18,Daten!$I$2:$I$501,$C$19)</f>
        <v>0</v>
      </c>
      <c r="F34" s="57" t="s">
        <v>27</v>
      </c>
      <c r="G34" s="58" t="n">
        <f aca="false">SUMIFS(Daten!$H$2:$H$501,Daten!$J$2:$J$501,$C$16,Daten!$K$2:$K$501,$C$17,Daten!$C$2:$C$501,$F34,Daten!$I$2:$I$501,$C$19)</f>
        <v>6.5</v>
      </c>
    </row>
    <row r="35" customFormat="false" ht="15" hidden="false" customHeight="false" outlineLevel="0" collapsed="false">
      <c r="B35" s="57" t="s">
        <v>83</v>
      </c>
      <c r="C35" s="58" t="n">
        <f aca="false">SUMIFS(Daten!$H$2:$H$501,Daten!$J$2:$J$501,$C$16,Daten!$K$2:$K$501,$B35,Daten!$C$2:$C$501,$C$18,Daten!$I$2:$I$501,$C$19)</f>
        <v>42.17</v>
      </c>
      <c r="D35" s="59" t="n">
        <f aca="false">COUNTIFS(Daten!$J$2:$J$501,$C$16,Daten!$K$2:$K$501,$B35,Daten!$C$2:$C$501,$C$18,Daten!$I$2:$I$501,$C$19)</f>
        <v>15</v>
      </c>
      <c r="F35" s="57" t="s">
        <v>28</v>
      </c>
      <c r="G35" s="58" t="n">
        <f aca="false">SUMIFS(Daten!$H$2:$H$501,Daten!$J$2:$J$501,$C$16,Daten!$K$2:$K$501,$C$17,Daten!$C$2:$C$501,$F35,Daten!$I$2:$I$501,$C$19)</f>
        <v>4.25</v>
      </c>
    </row>
    <row r="36" customFormat="false" ht="15" hidden="false" customHeight="false" outlineLevel="0" collapsed="false">
      <c r="B36" s="57" t="s">
        <v>84</v>
      </c>
      <c r="C36" s="58" t="n">
        <f aca="false">SUMIFS(Daten!$H$2:$H$501,Daten!$J$2:$J$501,$C$16,Daten!$K$2:$K$501,$B36,Daten!$C$2:$C$501,$C$18,Daten!$I$2:$I$501,$C$19)</f>
        <v>19.75</v>
      </c>
      <c r="D36" s="59" t="n">
        <f aca="false">COUNTIFS(Daten!$J$2:$J$501,$C$16,Daten!$K$2:$K$501,$B36,Daten!$C$2:$C$501,$C$18,Daten!$I$2:$I$501,$C$19)</f>
        <v>9</v>
      </c>
      <c r="F36" s="57" t="s">
        <v>29</v>
      </c>
      <c r="G36" s="58" t="n">
        <f aca="false">SUMIFS(Daten!$H$2:$H$501,Daten!$J$2:$J$501,$C$16,Daten!$K$2:$K$501,$C$17,Daten!$C$2:$C$501,$F36,Daten!$I$2:$I$501,$C$19)</f>
        <v>0</v>
      </c>
    </row>
    <row r="37" customFormat="false" ht="15" hidden="false" customHeight="false" outlineLevel="0" collapsed="false">
      <c r="B37" s="57" t="s">
        <v>85</v>
      </c>
      <c r="C37" s="58" t="n">
        <f aca="false">SUMIFS(Daten!$H$2:$H$501,Daten!$J$2:$J$501,$C$16,Daten!$K$2:$K$501,$B37,Daten!$C$2:$C$501,$C$18,Daten!$I$2:$I$501,$C$19)</f>
        <v>0</v>
      </c>
      <c r="D37" s="59" t="n">
        <f aca="false">COUNTIFS(Daten!$J$2:$J$501,$C$16,Daten!$K$2:$K$501,$B37,Daten!$C$2:$C$501,$C$18,Daten!$I$2:$I$501,$C$19)</f>
        <v>0</v>
      </c>
    </row>
    <row r="38" customFormat="false" ht="15" hidden="false" customHeight="false" outlineLevel="0" collapsed="false">
      <c r="B38" s="57" t="s">
        <v>86</v>
      </c>
      <c r="C38" s="58" t="n">
        <f aca="false">SUMIFS(Daten!$H$2:$H$501,Daten!$J$2:$J$501,$C$16,Daten!$K$2:$K$501,$B38,Daten!$C$2:$C$501,$C$18,Daten!$I$2:$I$501,$C$19)</f>
        <v>0</v>
      </c>
      <c r="D38" s="59" t="n">
        <f aca="false">COUNTIFS(Daten!$J$2:$J$501,$C$16,Daten!$K$2:$K$501,$B38,Daten!$C$2:$C$501,$C$18,Daten!$I$2:$I$501,$C$19)</f>
        <v>0</v>
      </c>
    </row>
    <row r="39" customFormat="false" ht="15" hidden="false" customHeight="false" outlineLevel="0" collapsed="false">
      <c r="B39" s="57" t="s">
        <v>87</v>
      </c>
      <c r="C39" s="58" t="n">
        <f aca="false">SUMIFS(Daten!$H$2:$H$501,Daten!$J$2:$J$501,$C$16,Daten!$K$2:$K$501,$B39,Daten!$C$2:$C$501,$C$18,Daten!$I$2:$I$501,$C$19)</f>
        <v>0</v>
      </c>
      <c r="D39" s="59" t="n">
        <f aca="false">COUNTIFS(Daten!$J$2:$J$501,$C$16,Daten!$K$2:$K$501,$B39,Daten!$C$2:$C$501,$C$18,Daten!$I$2:$I$501,$C$19)</f>
        <v>0</v>
      </c>
    </row>
    <row r="42" customFormat="false" ht="15" hidden="false" customHeight="false" outlineLevel="0" collapsed="false">
      <c r="B42" s="52" t="s">
        <v>97</v>
      </c>
      <c r="C42" s="52"/>
    </row>
    <row r="43" customFormat="false" ht="15" hidden="false" customHeight="false" outlineLevel="0" collapsed="false">
      <c r="B43" s="60" t="s">
        <v>98</v>
      </c>
      <c r="C43" s="61" t="s">
        <v>99</v>
      </c>
    </row>
    <row r="44" customFormat="false" ht="15" hidden="false" customHeight="false" outlineLevel="0" collapsed="false">
      <c r="B44" s="60" t="s">
        <v>100</v>
      </c>
      <c r="C44" s="62" t="s">
        <v>101</v>
      </c>
    </row>
    <row r="45" customFormat="false" ht="15" hidden="false" customHeight="false" outlineLevel="0" collapsed="false">
      <c r="B45" s="60" t="s">
        <v>102</v>
      </c>
      <c r="C45" s="63" t="s">
        <v>103</v>
      </c>
    </row>
  </sheetData>
  <mergeCells count="2">
    <mergeCell ref="B15:C15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2026-09-07T12:00:29Z</dcterms:created>
  <dc:creator>openpyxl</dc:creator>
  <dc:description/>
  <dc:language>en-US</dc:language>
  <cp:lastModifiedBy/>
  <dcterms:modified xsi:type="dcterms:W3CDTF">2026-09-07T12:00:30Z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